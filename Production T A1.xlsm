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3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4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5.xml" ContentType="application/vnd.openxmlformats-officedocument.drawing+xml"/>
  <Override PartName="/xl/ctrlProps/ctrlProp8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crecelius\Desktop\"/>
    </mc:Choice>
  </mc:AlternateContent>
  <xr:revisionPtr revIDLastSave="0" documentId="13_ncr:8001_{B6EE289E-077E-4F3C-8AC0-E1190C018807}" xr6:coauthVersionLast="34" xr6:coauthVersionMax="34" xr10:uidLastSave="{00000000-0000-0000-0000-000000000000}"/>
  <bookViews>
    <workbookView xWindow="0" yWindow="0" windowWidth="28800" windowHeight="12135" firstSheet="2" activeTab="2" xr2:uid="{00000000-000D-0000-FFFF-FFFF00000000}"/>
  </bookViews>
  <sheets>
    <sheet name="BG" sheetId="1" state="hidden" r:id="rId1"/>
    <sheet name="TBG" sheetId="6" state="hidden" r:id="rId2"/>
    <sheet name="Draw 1" sheetId="2" r:id="rId3"/>
    <sheet name="Draw 3" sheetId="5" r:id="rId4"/>
    <sheet name="Tarot 1" sheetId="8" r:id="rId5"/>
    <sheet name="Tarot 3" sheetId="11" r:id="rId6"/>
    <sheet name="Frontsheet" sheetId="3" r:id="rId7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1" l="1"/>
  <c r="B2" i="8"/>
  <c r="K2" i="11"/>
  <c r="A1" i="11"/>
  <c r="C1" i="11" s="1"/>
  <c r="B1" i="11" l="1"/>
  <c r="K2" i="8" l="1"/>
  <c r="A1" i="8"/>
  <c r="F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F1" i="8" l="1"/>
  <c r="F1" i="11"/>
  <c r="E1" i="8"/>
  <c r="E1" i="11"/>
  <c r="I1" i="8"/>
  <c r="I1" i="11"/>
  <c r="G1" i="8"/>
  <c r="G1" i="11"/>
  <c r="H1" i="8"/>
  <c r="H1" i="11"/>
  <c r="I7" i="11"/>
  <c r="I8" i="11" s="1"/>
  <c r="H7" i="11"/>
  <c r="G7" i="11"/>
  <c r="G8" i="11" s="1"/>
  <c r="F7" i="11"/>
  <c r="F8" i="11" s="1"/>
  <c r="F9" i="11" s="1"/>
  <c r="E7" i="11"/>
  <c r="E8" i="11" s="1"/>
  <c r="E9" i="11" s="1"/>
  <c r="D7" i="11"/>
  <c r="D8" i="11" s="1"/>
  <c r="D9" i="11" s="1"/>
  <c r="D10" i="11" s="1"/>
  <c r="C7" i="11"/>
  <c r="C8" i="11" s="1"/>
  <c r="B7" i="11"/>
  <c r="B8" i="11" s="1"/>
  <c r="A7" i="11"/>
  <c r="I7" i="8"/>
  <c r="I8" i="8" s="1"/>
  <c r="H7" i="8"/>
  <c r="H8" i="8" s="1"/>
  <c r="H9" i="8" s="1"/>
  <c r="G7" i="8"/>
  <c r="G8" i="8" s="1"/>
  <c r="G9" i="8" s="1"/>
  <c r="G10" i="8" s="1"/>
  <c r="F7" i="8"/>
  <c r="F8" i="8" s="1"/>
  <c r="E7" i="8"/>
  <c r="E8" i="8" s="1"/>
  <c r="E9" i="8" s="1"/>
  <c r="D7" i="8"/>
  <c r="D8" i="8" s="1"/>
  <c r="D9" i="8" s="1"/>
  <c r="C7" i="8"/>
  <c r="C8" i="8" s="1"/>
  <c r="B7" i="8"/>
  <c r="B8" i="8" s="1"/>
  <c r="A7" i="8"/>
  <c r="A8" i="8" s="1"/>
  <c r="G1" i="5"/>
  <c r="F1" i="5"/>
  <c r="E1" i="5"/>
  <c r="D1" i="5"/>
  <c r="G1" i="2"/>
  <c r="F1" i="2"/>
  <c r="E1" i="2"/>
  <c r="D1" i="2"/>
  <c r="I9" i="11" l="1"/>
  <c r="I10" i="11" s="1"/>
  <c r="I11" i="11" s="1"/>
  <c r="I12" i="11" s="1"/>
  <c r="H8" i="11"/>
  <c r="H9" i="11" s="1"/>
  <c r="G9" i="11"/>
  <c r="G10" i="11" s="1"/>
  <c r="G11" i="11" s="1"/>
  <c r="E10" i="11"/>
  <c r="E11" i="11" s="1"/>
  <c r="C9" i="11"/>
  <c r="C10" i="11" s="1"/>
  <c r="F10" i="11"/>
  <c r="F11" i="11" s="1"/>
  <c r="F12" i="11" s="1"/>
  <c r="D11" i="11"/>
  <c r="D12" i="11" s="1"/>
  <c r="B9" i="11"/>
  <c r="B10" i="11" s="1"/>
  <c r="B11" i="11" s="1"/>
  <c r="B12" i="11" s="1"/>
  <c r="A8" i="11"/>
  <c r="H10" i="8"/>
  <c r="H11" i="8" s="1"/>
  <c r="I9" i="8"/>
  <c r="I10" i="8" s="1"/>
  <c r="I11" i="8" s="1"/>
  <c r="I12" i="8" s="1"/>
  <c r="I13" i="8" s="1"/>
  <c r="I14" i="8" s="1"/>
  <c r="I15" i="8" s="1"/>
  <c r="F9" i="8"/>
  <c r="F10" i="8" s="1"/>
  <c r="F11" i="8" s="1"/>
  <c r="E10" i="8"/>
  <c r="E11" i="8" s="1"/>
  <c r="G11" i="8"/>
  <c r="G12" i="8" s="1"/>
  <c r="G13" i="8" s="1"/>
  <c r="G14" i="8" s="1"/>
  <c r="G15" i="8" s="1"/>
  <c r="D10" i="8"/>
  <c r="D11" i="8" s="1"/>
  <c r="D12" i="8" s="1"/>
  <c r="D13" i="8" s="1"/>
  <c r="C9" i="8"/>
  <c r="B9" i="8"/>
  <c r="A9" i="8"/>
  <c r="A10" i="8" s="1"/>
  <c r="A11" i="8" s="1"/>
  <c r="B2" i="5"/>
  <c r="B2" i="2"/>
  <c r="I2" i="5"/>
  <c r="I2" i="2"/>
  <c r="G7" i="5"/>
  <c r="G8" i="5" s="1"/>
  <c r="F7" i="5"/>
  <c r="F8" i="5" s="1"/>
  <c r="E7" i="5"/>
  <c r="E8" i="5" s="1"/>
  <c r="D7" i="5"/>
  <c r="D8" i="5" s="1"/>
  <c r="C7" i="5"/>
  <c r="C8" i="5" s="1"/>
  <c r="B7" i="5"/>
  <c r="B8" i="5" s="1"/>
  <c r="A7" i="5"/>
  <c r="A1" i="5"/>
  <c r="C1" i="5" l="1"/>
  <c r="B1" i="5"/>
  <c r="I13" i="11"/>
  <c r="I14" i="11" s="1"/>
  <c r="I15" i="11" s="1"/>
  <c r="I16" i="11" s="1"/>
  <c r="H10" i="11"/>
  <c r="H11" i="11" s="1"/>
  <c r="H12" i="11" s="1"/>
  <c r="H13" i="11" s="1"/>
  <c r="H14" i="11" s="1"/>
  <c r="H15" i="11" s="1"/>
  <c r="H16" i="11" s="1"/>
  <c r="G12" i="11"/>
  <c r="G13" i="11" s="1"/>
  <c r="G14" i="11" s="1"/>
  <c r="G15" i="11" s="1"/>
  <c r="G16" i="11" s="1"/>
  <c r="E12" i="11"/>
  <c r="E13" i="11" s="1"/>
  <c r="F13" i="11"/>
  <c r="F14" i="11" s="1"/>
  <c r="F15" i="11" s="1"/>
  <c r="F16" i="11" s="1"/>
  <c r="B13" i="11"/>
  <c r="B14" i="11" s="1"/>
  <c r="B15" i="11" s="1"/>
  <c r="B16" i="11" s="1"/>
  <c r="B17" i="11" s="1"/>
  <c r="D13" i="11"/>
  <c r="D14" i="11" s="1"/>
  <c r="C11" i="11"/>
  <c r="C12" i="11" s="1"/>
  <c r="A9" i="11"/>
  <c r="H12" i="8"/>
  <c r="H13" i="8" s="1"/>
  <c r="H14" i="8" s="1"/>
  <c r="H15" i="8" s="1"/>
  <c r="H16" i="8" s="1"/>
  <c r="F12" i="8"/>
  <c r="F13" i="8" s="1"/>
  <c r="F14" i="8" s="1"/>
  <c r="F15" i="8" s="1"/>
  <c r="I16" i="8"/>
  <c r="I17" i="8" s="1"/>
  <c r="G16" i="8"/>
  <c r="G17" i="8" s="1"/>
  <c r="E12" i="8"/>
  <c r="E13" i="8" s="1"/>
  <c r="D14" i="8"/>
  <c r="D15" i="8" s="1"/>
  <c r="D16" i="8" s="1"/>
  <c r="D17" i="8" s="1"/>
  <c r="D18" i="8" s="1"/>
  <c r="C10" i="8"/>
  <c r="B10" i="8"/>
  <c r="A12" i="8"/>
  <c r="A13" i="8" s="1"/>
  <c r="A14" i="8" s="1"/>
  <c r="G9" i="5"/>
  <c r="G10" i="5" s="1"/>
  <c r="G11" i="5" s="1"/>
  <c r="G12" i="5" s="1"/>
  <c r="G13" i="5" s="1"/>
  <c r="G14" i="5" s="1"/>
  <c r="G15" i="5" s="1"/>
  <c r="F9" i="5"/>
  <c r="F10" i="5" s="1"/>
  <c r="F11" i="5" s="1"/>
  <c r="F12" i="5" s="1"/>
  <c r="F13" i="5" s="1"/>
  <c r="F14" i="5" s="1"/>
  <c r="D9" i="5"/>
  <c r="D10" i="5" s="1"/>
  <c r="D11" i="5" s="1"/>
  <c r="C9" i="5"/>
  <c r="C10" i="5" s="1"/>
  <c r="E9" i="5"/>
  <c r="E10" i="5" s="1"/>
  <c r="A8" i="5"/>
  <c r="B9" i="5"/>
  <c r="B10" i="5" s="1"/>
  <c r="L1" i="1"/>
  <c r="K1" i="1"/>
  <c r="J1" i="1"/>
  <c r="I1" i="1"/>
  <c r="H1" i="1"/>
  <c r="G1" i="1"/>
  <c r="F1" i="1"/>
  <c r="I17" i="11" l="1"/>
  <c r="I18" i="11" s="1"/>
  <c r="H17" i="11"/>
  <c r="H18" i="11" s="1"/>
  <c r="G17" i="11"/>
  <c r="G18" i="11" s="1"/>
  <c r="E14" i="11"/>
  <c r="E15" i="11" s="1"/>
  <c r="E16" i="11" s="1"/>
  <c r="E17" i="11" s="1"/>
  <c r="F17" i="11"/>
  <c r="D15" i="11"/>
  <c r="D16" i="11" s="1"/>
  <c r="D17" i="11" s="1"/>
  <c r="D18" i="11" s="1"/>
  <c r="D19" i="11" s="1"/>
  <c r="D20" i="11" s="1"/>
  <c r="C13" i="11"/>
  <c r="B18" i="11"/>
  <c r="B19" i="11" s="1"/>
  <c r="B20" i="11" s="1"/>
  <c r="A10" i="11"/>
  <c r="I18" i="8"/>
  <c r="H17" i="8"/>
  <c r="G18" i="8"/>
  <c r="F16" i="8"/>
  <c r="E14" i="8"/>
  <c r="E15" i="8" s="1"/>
  <c r="D19" i="8"/>
  <c r="D20" i="8" s="1"/>
  <c r="C11" i="8"/>
  <c r="C12" i="8" s="1"/>
  <c r="B11" i="8"/>
  <c r="B12" i="8" s="1"/>
  <c r="A15" i="8"/>
  <c r="A16" i="8" s="1"/>
  <c r="E11" i="5"/>
  <c r="E12" i="5" s="1"/>
  <c r="E13" i="5" s="1"/>
  <c r="E14" i="5" s="1"/>
  <c r="G16" i="5"/>
  <c r="G17" i="5" s="1"/>
  <c r="D12" i="5"/>
  <c r="D13" i="5" s="1"/>
  <c r="C11" i="5"/>
  <c r="F15" i="5"/>
  <c r="B11" i="5"/>
  <c r="A9" i="5"/>
  <c r="Y1" i="1"/>
  <c r="X1" i="1"/>
  <c r="W1" i="1"/>
  <c r="V1" i="1"/>
  <c r="U1" i="1"/>
  <c r="T1" i="1"/>
  <c r="S1" i="1"/>
  <c r="M1" i="1"/>
  <c r="A7" i="2"/>
  <c r="A1" i="2"/>
  <c r="H19" i="11" l="1"/>
  <c r="H20" i="11" s="1"/>
  <c r="E18" i="11"/>
  <c r="E19" i="11" s="1"/>
  <c r="E20" i="11" s="1"/>
  <c r="E21" i="11" s="1"/>
  <c r="E22" i="11" s="1"/>
  <c r="E23" i="11" s="1"/>
  <c r="E24" i="11" s="1"/>
  <c r="E25" i="11" s="1"/>
  <c r="B21" i="1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I19" i="11"/>
  <c r="I20" i="11" s="1"/>
  <c r="G19" i="11"/>
  <c r="G20" i="11" s="1"/>
  <c r="F18" i="11"/>
  <c r="D21" i="1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C14" i="11"/>
  <c r="A11" i="11"/>
  <c r="A12" i="11" s="1"/>
  <c r="A13" i="11" s="1"/>
  <c r="I19" i="8"/>
  <c r="H18" i="8"/>
  <c r="G19" i="8"/>
  <c r="F17" i="8"/>
  <c r="F18" i="8" s="1"/>
  <c r="F19" i="8" s="1"/>
  <c r="E16" i="8"/>
  <c r="E17" i="8" s="1"/>
  <c r="E18" i="8" s="1"/>
  <c r="E19" i="8" s="1"/>
  <c r="E20" i="8" s="1"/>
  <c r="E21" i="8" s="1"/>
  <c r="E22" i="8" s="1"/>
  <c r="E23" i="8" s="1"/>
  <c r="E24" i="8" s="1"/>
  <c r="E25" i="8" s="1"/>
  <c r="E26" i="8" s="1"/>
  <c r="E27" i="8" s="1"/>
  <c r="E28" i="8" s="1"/>
  <c r="E29" i="8" s="1"/>
  <c r="E30" i="8" s="1"/>
  <c r="E31" i="8" s="1"/>
  <c r="E32" i="8" s="1"/>
  <c r="E33" i="8" s="1"/>
  <c r="E34" i="8" s="1"/>
  <c r="E35" i="8" s="1"/>
  <c r="E36" i="8" s="1"/>
  <c r="E37" i="8" s="1"/>
  <c r="E38" i="8" s="1"/>
  <c r="D21" i="8"/>
  <c r="D22" i="8" s="1"/>
  <c r="D23" i="8" s="1"/>
  <c r="D24" i="8" s="1"/>
  <c r="D25" i="8" s="1"/>
  <c r="D26" i="8" s="1"/>
  <c r="D27" i="8" s="1"/>
  <c r="D28" i="8" s="1"/>
  <c r="D29" i="8" s="1"/>
  <c r="D30" i="8" s="1"/>
  <c r="D31" i="8" s="1"/>
  <c r="D32" i="8" s="1"/>
  <c r="D33" i="8" s="1"/>
  <c r="D34" i="8" s="1"/>
  <c r="D35" i="8" s="1"/>
  <c r="D36" i="8" s="1"/>
  <c r="D37" i="8" s="1"/>
  <c r="C13" i="8"/>
  <c r="B13" i="8"/>
  <c r="A17" i="8"/>
  <c r="A18" i="8" s="1"/>
  <c r="A19" i="8" s="1"/>
  <c r="E15" i="5"/>
  <c r="E16" i="5" s="1"/>
  <c r="E17" i="5" s="1"/>
  <c r="E18" i="5" s="1"/>
  <c r="D14" i="5"/>
  <c r="D15" i="5" s="1"/>
  <c r="F16" i="5"/>
  <c r="F17" i="5" s="1"/>
  <c r="G18" i="5"/>
  <c r="G19" i="5" s="1"/>
  <c r="B12" i="5"/>
  <c r="B13" i="5" s="1"/>
  <c r="C12" i="5"/>
  <c r="A10" i="5"/>
  <c r="A11" i="5" s="1"/>
  <c r="R1" i="1"/>
  <c r="Q1" i="1"/>
  <c r="P1" i="1"/>
  <c r="O1" i="1"/>
  <c r="I21" i="11" l="1"/>
  <c r="I22" i="11" s="1"/>
  <c r="I23" i="11" s="1"/>
  <c r="H21" i="11"/>
  <c r="G21" i="1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F19" i="11"/>
  <c r="E26" i="1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C15" i="11"/>
  <c r="A14" i="11"/>
  <c r="I20" i="8"/>
  <c r="I21" i="8" s="1"/>
  <c r="I22" i="8" s="1"/>
  <c r="H19" i="8"/>
  <c r="H20" i="8" s="1"/>
  <c r="G20" i="8"/>
  <c r="G21" i="8" s="1"/>
  <c r="G22" i="8" s="1"/>
  <c r="F20" i="8"/>
  <c r="D38" i="8"/>
  <c r="C14" i="8"/>
  <c r="C15" i="8" s="1"/>
  <c r="C16" i="8" s="1"/>
  <c r="B14" i="8"/>
  <c r="A20" i="8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E19" i="5"/>
  <c r="E20" i="5" s="1"/>
  <c r="A12" i="5"/>
  <c r="A13" i="5" s="1"/>
  <c r="D16" i="5"/>
  <c r="C13" i="5"/>
  <c r="C14" i="5" s="1"/>
  <c r="B14" i="5"/>
  <c r="F18" i="5"/>
  <c r="F19" i="5" s="1"/>
  <c r="F20" i="5" s="1"/>
  <c r="G20" i="5"/>
  <c r="G21" i="5" s="1"/>
  <c r="G7" i="2"/>
  <c r="G8" i="2" s="1"/>
  <c r="F7" i="2"/>
  <c r="E7" i="2"/>
  <c r="D7" i="2"/>
  <c r="D8" i="2" s="1"/>
  <c r="C7" i="2"/>
  <c r="C8" i="2" s="1"/>
  <c r="B7" i="2"/>
  <c r="B8" i="2" s="1"/>
  <c r="I24" i="11" l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H22" i="11"/>
  <c r="H23" i="11" s="1"/>
  <c r="H24" i="11" s="1"/>
  <c r="H25" i="11" s="1"/>
  <c r="H26" i="11" s="1"/>
  <c r="F20" i="11"/>
  <c r="C16" i="11"/>
  <c r="C17" i="11" s="1"/>
  <c r="A15" i="11"/>
  <c r="A16" i="11" s="1"/>
  <c r="A17" i="11" s="1"/>
  <c r="I23" i="8"/>
  <c r="I24" i="8" s="1"/>
  <c r="I25" i="8" s="1"/>
  <c r="I26" i="8" s="1"/>
  <c r="I27" i="8" s="1"/>
  <c r="I28" i="8" s="1"/>
  <c r="I29" i="8" s="1"/>
  <c r="I30" i="8" s="1"/>
  <c r="I31" i="8" s="1"/>
  <c r="I32" i="8" s="1"/>
  <c r="I33" i="8" s="1"/>
  <c r="I34" i="8" s="1"/>
  <c r="I35" i="8" s="1"/>
  <c r="I36" i="8" s="1"/>
  <c r="I37" i="8" s="1"/>
  <c r="I38" i="8" s="1"/>
  <c r="H21" i="8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G23" i="8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F21" i="8"/>
  <c r="F22" i="8" s="1"/>
  <c r="F23" i="8" s="1"/>
  <c r="F24" i="8" s="1"/>
  <c r="F25" i="8" s="1"/>
  <c r="F26" i="8" s="1"/>
  <c r="F27" i="8" s="1"/>
  <c r="F28" i="8" s="1"/>
  <c r="F29" i="8" s="1"/>
  <c r="F30" i="8" s="1"/>
  <c r="F31" i="8" s="1"/>
  <c r="F32" i="8" s="1"/>
  <c r="F33" i="8" s="1"/>
  <c r="F34" i="8" s="1"/>
  <c r="F35" i="8" s="1"/>
  <c r="F36" i="8" s="1"/>
  <c r="F37" i="8" s="1"/>
  <c r="F38" i="8" s="1"/>
  <c r="C17" i="8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C28" i="8" s="1"/>
  <c r="C29" i="8" s="1"/>
  <c r="C30" i="8" s="1"/>
  <c r="C31" i="8" s="1"/>
  <c r="C32" i="8" s="1"/>
  <c r="C33" i="8" s="1"/>
  <c r="C34" i="8" s="1"/>
  <c r="C35" i="8" s="1"/>
  <c r="C36" i="8" s="1"/>
  <c r="C37" i="8" s="1"/>
  <c r="C38" i="8" s="1"/>
  <c r="B15" i="8"/>
  <c r="B16" i="8" s="1"/>
  <c r="G22" i="5"/>
  <c r="G23" i="5" s="1"/>
  <c r="G24" i="5" s="1"/>
  <c r="G25" i="5" s="1"/>
  <c r="G26" i="5" s="1"/>
  <c r="B15" i="5"/>
  <c r="B16" i="5" s="1"/>
  <c r="E21" i="5"/>
  <c r="E22" i="5" s="1"/>
  <c r="E23" i="5" s="1"/>
  <c r="E24" i="5" s="1"/>
  <c r="E25" i="5" s="1"/>
  <c r="E26" i="5" s="1"/>
  <c r="D17" i="5"/>
  <c r="D18" i="5" s="1"/>
  <c r="D19" i="5" s="1"/>
  <c r="D20" i="5" s="1"/>
  <c r="D21" i="5" s="1"/>
  <c r="D22" i="5" s="1"/>
  <c r="D23" i="5" s="1"/>
  <c r="D24" i="5" s="1"/>
  <c r="D25" i="5" s="1"/>
  <c r="D26" i="5" s="1"/>
  <c r="F21" i="5"/>
  <c r="F22" i="5" s="1"/>
  <c r="F23" i="5" s="1"/>
  <c r="A14" i="5"/>
  <c r="C15" i="5"/>
  <c r="C16" i="5" s="1"/>
  <c r="D9" i="2"/>
  <c r="A8" i="2"/>
  <c r="A9" i="2" s="1"/>
  <c r="E8" i="2"/>
  <c r="E9" i="2" s="1"/>
  <c r="C9" i="2"/>
  <c r="C10" i="2" s="1"/>
  <c r="B9" i="2"/>
  <c r="B10" i="2" s="1"/>
  <c r="F8" i="2"/>
  <c r="G9" i="2"/>
  <c r="H27" i="11" l="1"/>
  <c r="H28" i="11" s="1"/>
  <c r="H29" i="11" s="1"/>
  <c r="H30" i="11" s="1"/>
  <c r="F21" i="11"/>
  <c r="C18" i="11"/>
  <c r="C19" i="11" s="1"/>
  <c r="C20" i="11" s="1"/>
  <c r="C21" i="11" s="1"/>
  <c r="A18" i="1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B17" i="8"/>
  <c r="B18" i="8" s="1"/>
  <c r="B19" i="8" s="1"/>
  <c r="B20" i="8" s="1"/>
  <c r="B21" i="8" s="1"/>
  <c r="B22" i="8" s="1"/>
  <c r="C17" i="5"/>
  <c r="C18" i="5" s="1"/>
  <c r="C19" i="5" s="1"/>
  <c r="C20" i="5" s="1"/>
  <c r="F24" i="5"/>
  <c r="A15" i="5"/>
  <c r="B17" i="5"/>
  <c r="B18" i="5" s="1"/>
  <c r="D10" i="2"/>
  <c r="B11" i="2"/>
  <c r="B12" i="2" s="1"/>
  <c r="A10" i="2"/>
  <c r="G10" i="2"/>
  <c r="C11" i="2"/>
  <c r="E10" i="2"/>
  <c r="E11" i="2" s="1"/>
  <c r="F9" i="2"/>
  <c r="H31" i="11" l="1"/>
  <c r="H32" i="11" s="1"/>
  <c r="H33" i="11" s="1"/>
  <c r="F22" i="1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C22" i="1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A32" i="11"/>
  <c r="A33" i="11" s="1"/>
  <c r="A34" i="11" s="1"/>
  <c r="A35" i="11" s="1"/>
  <c r="A36" i="11" s="1"/>
  <c r="A37" i="11" s="1"/>
  <c r="A38" i="11" s="1"/>
  <c r="B23" i="8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F25" i="5"/>
  <c r="F26" i="5" s="1"/>
  <c r="B19" i="5"/>
  <c r="B20" i="5" s="1"/>
  <c r="B21" i="5" s="1"/>
  <c r="B22" i="5" s="1"/>
  <c r="B23" i="5" s="1"/>
  <c r="B24" i="5" s="1"/>
  <c r="B25" i="5" s="1"/>
  <c r="B26" i="5" s="1"/>
  <c r="C21" i="5"/>
  <c r="C22" i="5" s="1"/>
  <c r="A16" i="5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D11" i="2"/>
  <c r="D12" i="2" s="1"/>
  <c r="D13" i="2" s="1"/>
  <c r="C12" i="2"/>
  <c r="C13" i="2" s="1"/>
  <c r="B13" i="2"/>
  <c r="B14" i="2" s="1"/>
  <c r="B15" i="2" s="1"/>
  <c r="A11" i="2"/>
  <c r="A12" i="2" s="1"/>
  <c r="G11" i="2"/>
  <c r="E12" i="2"/>
  <c r="F10" i="2"/>
  <c r="F11" i="2" s="1"/>
  <c r="F12" i="2" s="1"/>
  <c r="H34" i="11" l="1"/>
  <c r="H35" i="11" s="1"/>
  <c r="H36" i="11" s="1"/>
  <c r="H37" i="11" s="1"/>
  <c r="H38" i="11" s="1"/>
  <c r="C23" i="5"/>
  <c r="C24" i="5" s="1"/>
  <c r="C25" i="5" s="1"/>
  <c r="C26" i="5" s="1"/>
  <c r="D14" i="2"/>
  <c r="D15" i="2" s="1"/>
  <c r="C14" i="2"/>
  <c r="C15" i="2" s="1"/>
  <c r="C16" i="2" s="1"/>
  <c r="F13" i="2"/>
  <c r="F14" i="2" s="1"/>
  <c r="F15" i="2" s="1"/>
  <c r="A13" i="2"/>
  <c r="E13" i="2"/>
  <c r="E14" i="2" s="1"/>
  <c r="E15" i="2" s="1"/>
  <c r="B16" i="2"/>
  <c r="G12" i="2"/>
  <c r="E16" i="2" l="1"/>
  <c r="E17" i="2" s="1"/>
  <c r="E18" i="2" s="1"/>
  <c r="C17" i="2"/>
  <c r="C18" i="2" s="1"/>
  <c r="G13" i="2"/>
  <c r="G14" i="2" s="1"/>
  <c r="G15" i="2" s="1"/>
  <c r="F16" i="2"/>
  <c r="D16" i="2"/>
  <c r="D17" i="2" s="1"/>
  <c r="D18" i="2" s="1"/>
  <c r="A14" i="2"/>
  <c r="A15" i="2" s="1"/>
  <c r="A16" i="2" s="1"/>
  <c r="A17" i="2" s="1"/>
  <c r="A18" i="2" s="1"/>
  <c r="B17" i="2"/>
  <c r="B18" i="2" s="1"/>
  <c r="C19" i="2" l="1"/>
  <c r="C20" i="2" s="1"/>
  <c r="C21" i="2" s="1"/>
  <c r="E19" i="2"/>
  <c r="E20" i="2" s="1"/>
  <c r="E21" i="2" s="1"/>
  <c r="E22" i="2" s="1"/>
  <c r="E23" i="2" s="1"/>
  <c r="E24" i="2" s="1"/>
  <c r="E25" i="2" s="1"/>
  <c r="E26" i="2" s="1"/>
  <c r="G16" i="2"/>
  <c r="G17" i="2" s="1"/>
  <c r="A19" i="2"/>
  <c r="A20" i="2" s="1"/>
  <c r="B19" i="2"/>
  <c r="B20" i="2" s="1"/>
  <c r="B21" i="2" s="1"/>
  <c r="B22" i="2" s="1"/>
  <c r="B23" i="2" s="1"/>
  <c r="D19" i="2"/>
  <c r="D20" i="2" s="1"/>
  <c r="F17" i="2"/>
  <c r="F18" i="2" s="1"/>
  <c r="F19" i="2" s="1"/>
  <c r="F20" i="2" s="1"/>
  <c r="F21" i="2" s="1"/>
  <c r="F22" i="2" s="1"/>
  <c r="F23" i="2" s="1"/>
  <c r="G18" i="2" l="1"/>
  <c r="G19" i="2" s="1"/>
  <c r="G20" i="2" s="1"/>
  <c r="G21" i="2" s="1"/>
  <c r="D21" i="2"/>
  <c r="D22" i="2" s="1"/>
  <c r="D23" i="2" s="1"/>
  <c r="D24" i="2" s="1"/>
  <c r="D25" i="2" s="1"/>
  <c r="D26" i="2" s="1"/>
  <c r="C22" i="2"/>
  <c r="C23" i="2" s="1"/>
  <c r="C24" i="2" s="1"/>
  <c r="C25" i="2" s="1"/>
  <c r="C26" i="2" s="1"/>
  <c r="A21" i="2"/>
  <c r="A22" i="2" s="1"/>
  <c r="A23" i="2" s="1"/>
  <c r="A24" i="2" s="1"/>
  <c r="A25" i="2" s="1"/>
  <c r="A26" i="2" s="1"/>
  <c r="B24" i="2"/>
  <c r="B25" i="2" s="1"/>
  <c r="B26" i="2" s="1"/>
  <c r="F24" i="2"/>
  <c r="F25" i="2" s="1"/>
  <c r="G22" i="2" l="1"/>
  <c r="G23" i="2" s="1"/>
  <c r="G24" i="2" s="1"/>
  <c r="G25" i="2" s="1"/>
  <c r="G26" i="2" s="1"/>
  <c r="F26" i="2"/>
</calcChain>
</file>

<file path=xl/sharedStrings.xml><?xml version="1.0" encoding="utf-8"?>
<sst xmlns="http://schemas.openxmlformats.org/spreadsheetml/2006/main" count="436" uniqueCount="176">
  <si>
    <t>written</t>
  </si>
  <si>
    <t>base library</t>
  </si>
  <si>
    <t>library number</t>
  </si>
  <si>
    <t>library suit</t>
  </si>
  <si>
    <t>library color</t>
  </si>
  <si>
    <t>Position</t>
  </si>
  <si>
    <t>x</t>
  </si>
  <si>
    <t>o</t>
  </si>
  <si>
    <t>score</t>
  </si>
  <si>
    <t>pass count</t>
  </si>
  <si>
    <t>High Score</t>
  </si>
  <si>
    <t>ASS</t>
  </si>
  <si>
    <t>♈</t>
  </si>
  <si>
    <t>♉</t>
  </si>
  <si>
    <t>♊</t>
  </si>
  <si>
    <t>♋</t>
  </si>
  <si>
    <t>♌</t>
  </si>
  <si>
    <t>♍</t>
  </si>
  <si>
    <t>♎</t>
  </si>
  <si>
    <t>♏</t>
  </si>
  <si>
    <t>♐</t>
  </si>
  <si>
    <t>♑</t>
  </si>
  <si>
    <t>♒</t>
  </si>
  <si>
    <t>♓</t>
  </si>
  <si>
    <t>♅</t>
  </si>
  <si>
    <t>☿</t>
  </si>
  <si>
    <t>☾</t>
  </si>
  <si>
    <t>♀</t>
  </si>
  <si>
    <t>☉</t>
  </si>
  <si>
    <t>♂</t>
  </si>
  <si>
    <t>♇</t>
  </si>
  <si>
    <t>♣</t>
  </si>
  <si>
    <t>♦</t>
  </si>
  <si>
    <t>♥</t>
  </si>
  <si>
    <t>♠</t>
  </si>
  <si>
    <t>A♣</t>
  </si>
  <si>
    <t>2♣</t>
  </si>
  <si>
    <t>3♣</t>
  </si>
  <si>
    <t>4♣</t>
  </si>
  <si>
    <t>5♣</t>
  </si>
  <si>
    <t>6♣</t>
  </si>
  <si>
    <t>7♣</t>
  </si>
  <si>
    <t>8♣</t>
  </si>
  <si>
    <t>9♣</t>
  </si>
  <si>
    <t>10♣</t>
  </si>
  <si>
    <t>J♣</t>
  </si>
  <si>
    <t>Q♣</t>
  </si>
  <si>
    <t>K♣</t>
  </si>
  <si>
    <t>A♦</t>
  </si>
  <si>
    <t>2♦</t>
  </si>
  <si>
    <t>3♦</t>
  </si>
  <si>
    <t>4♦</t>
  </si>
  <si>
    <t>5♦</t>
  </si>
  <si>
    <t>6♦</t>
  </si>
  <si>
    <t>7♦</t>
  </si>
  <si>
    <t>8♦</t>
  </si>
  <si>
    <t>9♦</t>
  </si>
  <si>
    <t>10♦</t>
  </si>
  <si>
    <t>J♦</t>
  </si>
  <si>
    <t>Q♦</t>
  </si>
  <si>
    <t>K♦</t>
  </si>
  <si>
    <t>A♥</t>
  </si>
  <si>
    <t>2♥</t>
  </si>
  <si>
    <t>3♥</t>
  </si>
  <si>
    <t>4♥</t>
  </si>
  <si>
    <t>5♥</t>
  </si>
  <si>
    <t>6♥</t>
  </si>
  <si>
    <t>7♥</t>
  </si>
  <si>
    <t>8♥</t>
  </si>
  <si>
    <t>9♥</t>
  </si>
  <si>
    <t>10♥</t>
  </si>
  <si>
    <t>J♥</t>
  </si>
  <si>
    <t>Q♥</t>
  </si>
  <si>
    <t>K♥</t>
  </si>
  <si>
    <t>A♠</t>
  </si>
  <si>
    <t>2♠</t>
  </si>
  <si>
    <t>3♠</t>
  </si>
  <si>
    <t>4♠</t>
  </si>
  <si>
    <t>5♠</t>
  </si>
  <si>
    <t>6♠</t>
  </si>
  <si>
    <t>7♠</t>
  </si>
  <si>
    <t>8♠</t>
  </si>
  <si>
    <t>9♠</t>
  </si>
  <si>
    <t>10♠</t>
  </si>
  <si>
    <t>J♠</t>
  </si>
  <si>
    <t>Q♠</t>
  </si>
  <si>
    <t>K♠</t>
  </si>
  <si>
    <t>Win Monster</t>
  </si>
  <si>
    <t>So Close</t>
  </si>
  <si>
    <t>Perfect Game</t>
  </si>
  <si>
    <t xml:space="preserve">The </t>
  </si>
  <si>
    <t>Game Master</t>
  </si>
  <si>
    <t>Beat This</t>
  </si>
  <si>
    <t>Winner</t>
  </si>
  <si>
    <t>The Bestest</t>
  </si>
  <si>
    <t>Smash the Patriarchy</t>
  </si>
  <si>
    <t>Chicken Dinner</t>
  </si>
  <si>
    <t>☕</t>
  </si>
  <si>
    <t>⚔</t>
  </si>
  <si>
    <t>Finally!</t>
  </si>
  <si>
    <t>Yes</t>
  </si>
  <si>
    <t>♃</t>
  </si>
  <si>
    <t>♆</t>
  </si>
  <si>
    <t>♄</t>
  </si>
  <si>
    <t>★</t>
  </si>
  <si>
    <t>C♣</t>
  </si>
  <si>
    <t>A★</t>
  </si>
  <si>
    <t>2★</t>
  </si>
  <si>
    <t>3★</t>
  </si>
  <si>
    <t>4★</t>
  </si>
  <si>
    <t>5★</t>
  </si>
  <si>
    <t>6★</t>
  </si>
  <si>
    <t>7★</t>
  </si>
  <si>
    <t>8★</t>
  </si>
  <si>
    <t>9★</t>
  </si>
  <si>
    <t>10★</t>
  </si>
  <si>
    <t>J★</t>
  </si>
  <si>
    <t>C★</t>
  </si>
  <si>
    <t>Q★</t>
  </si>
  <si>
    <t>K★</t>
  </si>
  <si>
    <t>A☕</t>
  </si>
  <si>
    <t>2☕</t>
  </si>
  <si>
    <t>3☕</t>
  </si>
  <si>
    <t>4☕</t>
  </si>
  <si>
    <t>5☕</t>
  </si>
  <si>
    <t>6☕</t>
  </si>
  <si>
    <t>7☕</t>
  </si>
  <si>
    <t>8☕</t>
  </si>
  <si>
    <t>9☕</t>
  </si>
  <si>
    <t>10☕</t>
  </si>
  <si>
    <t>J☕</t>
  </si>
  <si>
    <t>C☕</t>
  </si>
  <si>
    <t>Q☕</t>
  </si>
  <si>
    <t>K☕</t>
  </si>
  <si>
    <t>A⚔</t>
  </si>
  <si>
    <t>2⚔</t>
  </si>
  <si>
    <t>3⚔</t>
  </si>
  <si>
    <t>4⚔</t>
  </si>
  <si>
    <t>5⚔</t>
  </si>
  <si>
    <t>6⚔</t>
  </si>
  <si>
    <t>7⚔</t>
  </si>
  <si>
    <t>8⚔</t>
  </si>
  <si>
    <t>9⚔</t>
  </si>
  <si>
    <t>10⚔</t>
  </si>
  <si>
    <t>J⚔</t>
  </si>
  <si>
    <t>C⚔</t>
  </si>
  <si>
    <t>Q⚔</t>
  </si>
  <si>
    <t>K⚔</t>
  </si>
  <si>
    <t>1☿</t>
  </si>
  <si>
    <t>2☾</t>
  </si>
  <si>
    <t>3♀</t>
  </si>
  <si>
    <t>4♈</t>
  </si>
  <si>
    <t>5♉</t>
  </si>
  <si>
    <t>6♊</t>
  </si>
  <si>
    <t>7♋</t>
  </si>
  <si>
    <t>8♌</t>
  </si>
  <si>
    <t>9♍</t>
  </si>
  <si>
    <t>10♃</t>
  </si>
  <si>
    <t>11♎</t>
  </si>
  <si>
    <t>12♆</t>
  </si>
  <si>
    <t>13♏</t>
  </si>
  <si>
    <t>14♐</t>
  </si>
  <si>
    <t>15♑</t>
  </si>
  <si>
    <t>16♂</t>
  </si>
  <si>
    <t>17♒</t>
  </si>
  <si>
    <t>18♓</t>
  </si>
  <si>
    <t>19☉</t>
  </si>
  <si>
    <t>20♇</t>
  </si>
  <si>
    <t>21♄</t>
  </si>
  <si>
    <t>Score</t>
  </si>
  <si>
    <t>Pass Count</t>
  </si>
  <si>
    <t>0♅</t>
  </si>
  <si>
    <t>Down with the Patriarchy</t>
  </si>
  <si>
    <t>Da Master</t>
  </si>
  <si>
    <t>I win again</t>
  </si>
  <si>
    <t>He who is Supreme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</si>
</sst>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rial Unicode MS"/>
      <family val="2"/>
    </font>
    <font>
      <sz val="10"/>
      <color theme="1"/>
      <name val="Arial Unicode MS"/>
      <family val="2"/>
    </font>
    <font>
      <sz val="1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quotePrefix="1"/>
    <xf numFmtId="0" fontId="2" fillId="0" borderId="0" xfId="0" applyFont="1"/>
    <xf numFmtId="0" fontId="0" fillId="0" borderId="0" xfId="0" applyFont="1"/>
    <xf numFmtId="0" fontId="3" fillId="0" borderId="0" xfId="0" applyFont="1"/>
    <xf numFmtId="0" fontId="3" fillId="2" borderId="0" xfId="0" applyFont="1" applyFill="1"/>
    <xf numFmtId="0" fontId="4" fillId="0" borderId="0" xfId="0" applyFont="1"/>
    <xf numFmtId="0" fontId="2" fillId="2" borderId="0" xfId="0" applyFont="1" applyFill="1"/>
  </cellXfs>
  <cellStyles count="1">
    <cellStyle name="Normal" xfId="0" builtinId="0"/>
  </cellStyles>
  <dxfs count="16">
    <dxf>
      <font>
        <color rgb="FFFF0000"/>
      </font>
    </dxf>
    <dxf>
      <font>
        <color theme="8"/>
      </font>
    </dxf>
    <dxf>
      <font>
        <strike val="0"/>
        <color rgb="FFFF0000"/>
      </font>
    </dxf>
    <dxf>
      <font>
        <strike val="0"/>
        <color theme="0"/>
      </font>
    </dxf>
    <dxf>
      <font>
        <strike val="0"/>
        <color theme="0"/>
      </font>
    </dxf>
    <dxf>
      <font>
        <color rgb="FFFF0000"/>
      </font>
    </dxf>
    <dxf>
      <font>
        <color theme="8"/>
      </font>
    </dxf>
    <dxf>
      <font>
        <strike val="0"/>
        <color theme="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theme="0"/>
      </font>
    </dxf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10</xdr:col>
          <xdr:colOff>9525</xdr:colOff>
          <xdr:row>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0</xdr:col>
          <xdr:colOff>600075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0</xdr:row>
          <xdr:rowOff>180975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9525</xdr:rowOff>
        </xdr:from>
        <xdr:to>
          <xdr:col>0</xdr:col>
          <xdr:colOff>600075</xdr:colOff>
          <xdr:row>6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2</xdr:col>
          <xdr:colOff>600075</xdr:colOff>
          <xdr:row>6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600075</xdr:colOff>
          <xdr:row>6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9525</xdr:rowOff>
        </xdr:from>
        <xdr:to>
          <xdr:col>4</xdr:col>
          <xdr:colOff>600075</xdr:colOff>
          <xdr:row>6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9525</xdr:rowOff>
        </xdr:from>
        <xdr:to>
          <xdr:col>5</xdr:col>
          <xdr:colOff>600075</xdr:colOff>
          <xdr:row>6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6</xdr:col>
          <xdr:colOff>600075</xdr:colOff>
          <xdr:row>6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0</xdr:col>
          <xdr:colOff>600075</xdr:colOff>
          <xdr:row>5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9525</xdr:rowOff>
        </xdr:from>
        <xdr:to>
          <xdr:col>2</xdr:col>
          <xdr:colOff>600075</xdr:colOff>
          <xdr:row>5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3</xdr:col>
          <xdr:colOff>600075</xdr:colOff>
          <xdr:row>5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9525</xdr:rowOff>
        </xdr:from>
        <xdr:to>
          <xdr:col>4</xdr:col>
          <xdr:colOff>600075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5</xdr:col>
          <xdr:colOff>600075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9525</xdr:rowOff>
        </xdr:from>
        <xdr:to>
          <xdr:col>6</xdr:col>
          <xdr:colOff>600075</xdr:colOff>
          <xdr:row>5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0</xdr:rowOff>
        </xdr:from>
        <xdr:to>
          <xdr:col>9</xdr:col>
          <xdr:colOff>590550</xdr:colOff>
          <xdr:row>4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2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Goodbye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10</xdr:col>
          <xdr:colOff>9525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0</xdr:col>
          <xdr:colOff>600075</xdr:colOff>
          <xdr:row>2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0</xdr:row>
          <xdr:rowOff>180975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9525</xdr:rowOff>
        </xdr:from>
        <xdr:to>
          <xdr:col>0</xdr:col>
          <xdr:colOff>600075</xdr:colOff>
          <xdr:row>6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6</xdr:row>
          <xdr:rowOff>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2</xdr:col>
          <xdr:colOff>600075</xdr:colOff>
          <xdr:row>6</xdr:row>
          <xdr:rowOff>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600075</xdr:colOff>
          <xdr:row>6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9525</xdr:rowOff>
        </xdr:from>
        <xdr:to>
          <xdr:col>4</xdr:col>
          <xdr:colOff>600075</xdr:colOff>
          <xdr:row>6</xdr:row>
          <xdr:rowOff>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9525</xdr:rowOff>
        </xdr:from>
        <xdr:to>
          <xdr:col>5</xdr:col>
          <xdr:colOff>600075</xdr:colOff>
          <xdr:row>6</xdr:row>
          <xdr:rowOff>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6</xdr:col>
          <xdr:colOff>600075</xdr:colOff>
          <xdr:row>6</xdr:row>
          <xdr:rowOff>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0</xdr:col>
          <xdr:colOff>600075</xdr:colOff>
          <xdr:row>5</xdr:row>
          <xdr:rowOff>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3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9525</xdr:rowOff>
        </xdr:from>
        <xdr:to>
          <xdr:col>2</xdr:col>
          <xdr:colOff>600075</xdr:colOff>
          <xdr:row>5</xdr:row>
          <xdr:rowOff>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3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3</xdr:col>
          <xdr:colOff>600075</xdr:colOff>
          <xdr:row>5</xdr:row>
          <xdr:rowOff>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3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9525</xdr:rowOff>
        </xdr:from>
        <xdr:to>
          <xdr:col>4</xdr:col>
          <xdr:colOff>600075</xdr:colOff>
          <xdr:row>5</xdr:row>
          <xdr:rowOff>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3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5</xdr:col>
          <xdr:colOff>600075</xdr:colOff>
          <xdr:row>5</xdr:row>
          <xdr:rowOff>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3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9525</xdr:rowOff>
        </xdr:from>
        <xdr:to>
          <xdr:col>6</xdr:col>
          <xdr:colOff>600075</xdr:colOff>
          <xdr:row>5</xdr:row>
          <xdr:rowOff>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3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0</xdr:rowOff>
        </xdr:from>
        <xdr:to>
          <xdr:col>9</xdr:col>
          <xdr:colOff>590550</xdr:colOff>
          <xdr:row>4</xdr:row>
          <xdr:rowOff>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3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Goodbye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0</xdr:row>
          <xdr:rowOff>180975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3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19050</xdr:rowOff>
        </xdr:from>
        <xdr:to>
          <xdr:col>1</xdr:col>
          <xdr:colOff>9525</xdr:colOff>
          <xdr:row>2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9525</xdr:rowOff>
        </xdr:from>
        <xdr:to>
          <xdr:col>1</xdr:col>
          <xdr:colOff>9525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2</xdr:col>
          <xdr:colOff>9525</xdr:colOff>
          <xdr:row>6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3</xdr:col>
          <xdr:colOff>9525</xdr:colOff>
          <xdr:row>6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4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4</xdr:col>
          <xdr:colOff>9525</xdr:colOff>
          <xdr:row>6</xdr:row>
          <xdr:rowOff>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4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9525</xdr:rowOff>
        </xdr:from>
        <xdr:to>
          <xdr:col>5</xdr:col>
          <xdr:colOff>9525</xdr:colOff>
          <xdr:row>6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4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9525</xdr:rowOff>
        </xdr:from>
        <xdr:to>
          <xdr:col>6</xdr:col>
          <xdr:colOff>9525</xdr:colOff>
          <xdr:row>6</xdr:row>
          <xdr:rowOff>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4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9525</xdr:colOff>
          <xdr:row>6</xdr:row>
          <xdr:rowOff>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4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8</xdr:col>
          <xdr:colOff>9525</xdr:colOff>
          <xdr:row>6</xdr:row>
          <xdr:rowOff>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4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9525</xdr:rowOff>
        </xdr:from>
        <xdr:to>
          <xdr:col>9</xdr:col>
          <xdr:colOff>9525</xdr:colOff>
          <xdr:row>6</xdr:row>
          <xdr:rowOff>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4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12</xdr:col>
          <xdr:colOff>9525</xdr:colOff>
          <xdr:row>1</xdr:row>
          <xdr:rowOff>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4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1</xdr:col>
          <xdr:colOff>9525</xdr:colOff>
          <xdr:row>5</xdr:row>
          <xdr:rowOff>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4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2</xdr:col>
          <xdr:colOff>9525</xdr:colOff>
          <xdr:row>5</xdr:row>
          <xdr:rowOff>0</xdr:rowOff>
        </xdr:to>
        <xdr:sp macro="" textlink="">
          <xdr:nvSpPr>
            <xdr:cNvPr id="14352" name="Button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4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9525</xdr:rowOff>
        </xdr:from>
        <xdr:to>
          <xdr:col>3</xdr:col>
          <xdr:colOff>9525</xdr:colOff>
          <xdr:row>5</xdr:row>
          <xdr:rowOff>0</xdr:rowOff>
        </xdr:to>
        <xdr:sp macro="" textlink="">
          <xdr:nvSpPr>
            <xdr:cNvPr id="14353" name="Button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4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4</xdr:col>
          <xdr:colOff>9525</xdr:colOff>
          <xdr:row>5</xdr:row>
          <xdr:rowOff>0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4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9525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4355" name="Button 19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4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9525</xdr:colOff>
          <xdr:row>5</xdr:row>
          <xdr:rowOff>0</xdr:rowOff>
        </xdr:to>
        <xdr:sp macro="" textlink="">
          <xdr:nvSpPr>
            <xdr:cNvPr id="14356" name="Button 20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4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9525</xdr:rowOff>
        </xdr:from>
        <xdr:to>
          <xdr:col>7</xdr:col>
          <xdr:colOff>9525</xdr:colOff>
          <xdr:row>5</xdr:row>
          <xdr:rowOff>0</xdr:rowOff>
        </xdr:to>
        <xdr:sp macro="" textlink="">
          <xdr:nvSpPr>
            <xdr:cNvPr id="14357" name="Button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4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8</xdr:col>
          <xdr:colOff>9525</xdr:colOff>
          <xdr:row>5</xdr:row>
          <xdr:rowOff>0</xdr:rowOff>
        </xdr:to>
        <xdr:sp macro="" textlink="">
          <xdr:nvSpPr>
            <xdr:cNvPr id="14358" name="Button 22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4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4359" name="Button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4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9525</xdr:rowOff>
        </xdr:from>
        <xdr:to>
          <xdr:col>5</xdr:col>
          <xdr:colOff>9525</xdr:colOff>
          <xdr:row>2</xdr:row>
          <xdr:rowOff>0</xdr:rowOff>
        </xdr:to>
        <xdr:sp macro="" textlink="">
          <xdr:nvSpPr>
            <xdr:cNvPr id="14360" name="Button 24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4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</xdr:row>
          <xdr:rowOff>0</xdr:rowOff>
        </xdr:from>
        <xdr:to>
          <xdr:col>11</xdr:col>
          <xdr:colOff>600075</xdr:colOff>
          <xdr:row>3</xdr:row>
          <xdr:rowOff>200025</xdr:rowOff>
        </xdr:to>
        <xdr:sp macro="" textlink="">
          <xdr:nvSpPr>
            <xdr:cNvPr id="14361" name="Button 25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4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Goodbye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19050</xdr:rowOff>
        </xdr:from>
        <xdr:to>
          <xdr:col>1</xdr:col>
          <xdr:colOff>9525</xdr:colOff>
          <xdr:row>2</xdr:row>
          <xdr:rowOff>9525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9525</xdr:rowOff>
        </xdr:from>
        <xdr:to>
          <xdr:col>1</xdr:col>
          <xdr:colOff>9525</xdr:colOff>
          <xdr:row>6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5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2</xdr:col>
          <xdr:colOff>9525</xdr:colOff>
          <xdr:row>6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5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3</xdr:col>
          <xdr:colOff>9525</xdr:colOff>
          <xdr:row>6</xdr:row>
          <xdr:rowOff>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5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4</xdr:col>
          <xdr:colOff>9525</xdr:colOff>
          <xdr:row>6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5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9525</xdr:rowOff>
        </xdr:from>
        <xdr:to>
          <xdr:col>5</xdr:col>
          <xdr:colOff>9525</xdr:colOff>
          <xdr:row>6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5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9525</xdr:rowOff>
        </xdr:from>
        <xdr:to>
          <xdr:col>6</xdr:col>
          <xdr:colOff>9525</xdr:colOff>
          <xdr:row>6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5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9525</xdr:colOff>
          <xdr:row>6</xdr:row>
          <xdr:rowOff>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5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8</xdr:col>
          <xdr:colOff>9525</xdr:colOff>
          <xdr:row>6</xdr:row>
          <xdr:rowOff>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5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9525</xdr:rowOff>
        </xdr:from>
        <xdr:to>
          <xdr:col>9</xdr:col>
          <xdr:colOff>9525</xdr:colOff>
          <xdr:row>6</xdr:row>
          <xdr:rowOff>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5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12</xdr:col>
          <xdr:colOff>9525</xdr:colOff>
          <xdr:row>1</xdr:row>
          <xdr:rowOff>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5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1</xdr:col>
          <xdr:colOff>9525</xdr:colOff>
          <xdr:row>5</xdr:row>
          <xdr:rowOff>0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5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2</xdr:col>
          <xdr:colOff>9525</xdr:colOff>
          <xdr:row>5</xdr:row>
          <xdr:rowOff>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5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9525</xdr:rowOff>
        </xdr:from>
        <xdr:to>
          <xdr:col>3</xdr:col>
          <xdr:colOff>9525</xdr:colOff>
          <xdr:row>5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5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4</xdr:col>
          <xdr:colOff>9525</xdr:colOff>
          <xdr:row>5</xdr:row>
          <xdr:rowOff>0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5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9525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21520" name="Button 16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00000000-0008-0000-0500-00001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9525</xdr:colOff>
          <xdr:row>5</xdr:row>
          <xdr:rowOff>0</xdr:rowOff>
        </xdr:to>
        <xdr:sp macro="" textlink="">
          <xdr:nvSpPr>
            <xdr:cNvPr id="21521" name="Button 17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5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9525</xdr:rowOff>
        </xdr:from>
        <xdr:to>
          <xdr:col>7</xdr:col>
          <xdr:colOff>9525</xdr:colOff>
          <xdr:row>5</xdr:row>
          <xdr:rowOff>0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5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8</xdr:col>
          <xdr:colOff>9525</xdr:colOff>
          <xdr:row>5</xdr:row>
          <xdr:rowOff>0</xdr:rowOff>
        </xdr:to>
        <xdr:sp macro="" textlink="">
          <xdr:nvSpPr>
            <xdr:cNvPr id="21523" name="Button 19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5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21524" name="Button 20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5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9525</xdr:rowOff>
        </xdr:from>
        <xdr:to>
          <xdr:col>5</xdr:col>
          <xdr:colOff>9525</xdr:colOff>
          <xdr:row>2</xdr:row>
          <xdr:rowOff>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5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9525</xdr:rowOff>
        </xdr:from>
        <xdr:to>
          <xdr:col>11</xdr:col>
          <xdr:colOff>590550</xdr:colOff>
          <xdr:row>4</xdr:row>
          <xdr:rowOff>0</xdr:rowOff>
        </xdr:to>
        <xdr:sp macro="" textlink="">
          <xdr:nvSpPr>
            <xdr:cNvPr id="21528" name="Button 24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5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Goodbye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19050</xdr:rowOff>
        </xdr:from>
        <xdr:to>
          <xdr:col>3</xdr:col>
          <xdr:colOff>9525</xdr:colOff>
          <xdr:row>0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36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Relationship Id="rId22" Type="http://schemas.openxmlformats.org/officeDocument/2006/relationships/ctrlProp" Target="../ctrlProps/ctrlProp3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13" Type="http://schemas.openxmlformats.org/officeDocument/2006/relationships/ctrlProp" Target="../ctrlProps/ctrlProp47.xml"/><Relationship Id="rId18" Type="http://schemas.openxmlformats.org/officeDocument/2006/relationships/ctrlProp" Target="../ctrlProps/ctrlProp5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5.x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17" Type="http://schemas.openxmlformats.org/officeDocument/2006/relationships/ctrlProp" Target="../ctrlProps/ctrlProp51.xml"/><Relationship Id="rId25" Type="http://schemas.openxmlformats.org/officeDocument/2006/relationships/ctrlProp" Target="../ctrlProps/ctrlProp5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0.xml"/><Relationship Id="rId20" Type="http://schemas.openxmlformats.org/officeDocument/2006/relationships/ctrlProp" Target="../ctrlProps/ctrlProp5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24" Type="http://schemas.openxmlformats.org/officeDocument/2006/relationships/ctrlProp" Target="../ctrlProps/ctrlProp58.xml"/><Relationship Id="rId5" Type="http://schemas.openxmlformats.org/officeDocument/2006/relationships/ctrlProp" Target="../ctrlProps/ctrlProp39.xml"/><Relationship Id="rId15" Type="http://schemas.openxmlformats.org/officeDocument/2006/relationships/ctrlProp" Target="../ctrlProps/ctrlProp49.xml"/><Relationship Id="rId23" Type="http://schemas.openxmlformats.org/officeDocument/2006/relationships/ctrlProp" Target="../ctrlProps/ctrlProp57.xml"/><Relationship Id="rId10" Type="http://schemas.openxmlformats.org/officeDocument/2006/relationships/ctrlProp" Target="../ctrlProps/ctrlProp44.xml"/><Relationship Id="rId19" Type="http://schemas.openxmlformats.org/officeDocument/2006/relationships/ctrlProp" Target="../ctrlProps/ctrlProp53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Relationship Id="rId14" Type="http://schemas.openxmlformats.org/officeDocument/2006/relationships/ctrlProp" Target="../ctrlProps/ctrlProp48.xml"/><Relationship Id="rId22" Type="http://schemas.openxmlformats.org/officeDocument/2006/relationships/ctrlProp" Target="../ctrlProps/ctrlProp5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13" Type="http://schemas.openxmlformats.org/officeDocument/2006/relationships/ctrlProp" Target="../ctrlProps/ctrlProp69.xml"/><Relationship Id="rId18" Type="http://schemas.openxmlformats.org/officeDocument/2006/relationships/ctrlProp" Target="../ctrlProps/ctrlProp7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77.xml"/><Relationship Id="rId7" Type="http://schemas.openxmlformats.org/officeDocument/2006/relationships/ctrlProp" Target="../ctrlProps/ctrlProp63.xml"/><Relationship Id="rId12" Type="http://schemas.openxmlformats.org/officeDocument/2006/relationships/ctrlProp" Target="../ctrlProps/ctrlProp68.xml"/><Relationship Id="rId17" Type="http://schemas.openxmlformats.org/officeDocument/2006/relationships/ctrlProp" Target="../ctrlProps/ctrlProp73.xml"/><Relationship Id="rId25" Type="http://schemas.openxmlformats.org/officeDocument/2006/relationships/ctrlProp" Target="../ctrlProps/ctrlProp81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72.xml"/><Relationship Id="rId20" Type="http://schemas.openxmlformats.org/officeDocument/2006/relationships/ctrlProp" Target="../ctrlProps/ctrlProp7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2.xml"/><Relationship Id="rId11" Type="http://schemas.openxmlformats.org/officeDocument/2006/relationships/ctrlProp" Target="../ctrlProps/ctrlProp67.xml"/><Relationship Id="rId24" Type="http://schemas.openxmlformats.org/officeDocument/2006/relationships/ctrlProp" Target="../ctrlProps/ctrlProp80.xml"/><Relationship Id="rId5" Type="http://schemas.openxmlformats.org/officeDocument/2006/relationships/ctrlProp" Target="../ctrlProps/ctrlProp61.xml"/><Relationship Id="rId15" Type="http://schemas.openxmlformats.org/officeDocument/2006/relationships/ctrlProp" Target="../ctrlProps/ctrlProp71.xml"/><Relationship Id="rId23" Type="http://schemas.openxmlformats.org/officeDocument/2006/relationships/ctrlProp" Target="../ctrlProps/ctrlProp79.xml"/><Relationship Id="rId10" Type="http://schemas.openxmlformats.org/officeDocument/2006/relationships/ctrlProp" Target="../ctrlProps/ctrlProp66.xml"/><Relationship Id="rId19" Type="http://schemas.openxmlformats.org/officeDocument/2006/relationships/ctrlProp" Target="../ctrlProps/ctrlProp75.xml"/><Relationship Id="rId4" Type="http://schemas.openxmlformats.org/officeDocument/2006/relationships/ctrlProp" Target="../ctrlProps/ctrlProp60.xml"/><Relationship Id="rId9" Type="http://schemas.openxmlformats.org/officeDocument/2006/relationships/ctrlProp" Target="../ctrlProps/ctrlProp65.xml"/><Relationship Id="rId14" Type="http://schemas.openxmlformats.org/officeDocument/2006/relationships/ctrlProp" Target="../ctrlProps/ctrlProp70.xml"/><Relationship Id="rId22" Type="http://schemas.openxmlformats.org/officeDocument/2006/relationships/ctrlProp" Target="../ctrlProps/ctrlProp7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3"/>
  <sheetViews>
    <sheetView workbookViewId="0">
      <selection activeCell="N3" sqref="N3"/>
    </sheetView>
  </sheetViews>
  <sheetFormatPr defaultRowHeight="15" x14ac:dyDescent="0.25"/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>
        <f>COUNTA(F2:F8)</f>
        <v>1</v>
      </c>
      <c r="G1">
        <f t="shared" ref="G1:L1" si="0">COUNTA(G2:G8)</f>
        <v>2</v>
      </c>
      <c r="H1">
        <f t="shared" si="0"/>
        <v>3</v>
      </c>
      <c r="I1">
        <f t="shared" si="0"/>
        <v>4</v>
      </c>
      <c r="J1">
        <f t="shared" si="0"/>
        <v>5</v>
      </c>
      <c r="K1">
        <f t="shared" si="0"/>
        <v>6</v>
      </c>
      <c r="L1">
        <f t="shared" si="0"/>
        <v>7</v>
      </c>
      <c r="M1">
        <f>COUNTA(M2:M26)</f>
        <v>25</v>
      </c>
      <c r="N1" t="s">
        <v>5</v>
      </c>
      <c r="O1">
        <f t="shared" ref="O1:R1" si="1">COUNTA(O2:O14)</f>
        <v>0</v>
      </c>
      <c r="P1">
        <f t="shared" si="1"/>
        <v>0</v>
      </c>
      <c r="Q1">
        <f t="shared" si="1"/>
        <v>0</v>
      </c>
      <c r="R1">
        <f t="shared" si="1"/>
        <v>0</v>
      </c>
      <c r="S1">
        <f t="shared" ref="S1:Y1" si="2">COUNTIFS(S2:S14,"&lt;&gt;",S2:S14,"&lt;&gt;0")</f>
        <v>0</v>
      </c>
      <c r="T1">
        <f t="shared" si="2"/>
        <v>0</v>
      </c>
      <c r="U1">
        <f t="shared" si="2"/>
        <v>0</v>
      </c>
      <c r="V1">
        <f t="shared" si="2"/>
        <v>0</v>
      </c>
      <c r="W1">
        <f t="shared" si="2"/>
        <v>0</v>
      </c>
      <c r="X1">
        <f t="shared" si="2"/>
        <v>0</v>
      </c>
      <c r="Y1">
        <f t="shared" si="2"/>
        <v>0</v>
      </c>
      <c r="Z1" t="s">
        <v>8</v>
      </c>
      <c r="AA1" t="s">
        <v>9</v>
      </c>
    </row>
    <row r="2" spans="1:27" ht="16.5" x14ac:dyDescent="0.3">
      <c r="A2" t="s">
        <v>35</v>
      </c>
      <c r="B2">
        <v>1</v>
      </c>
      <c r="C2">
        <v>1</v>
      </c>
      <c r="D2" s="2" t="s">
        <v>31</v>
      </c>
      <c r="E2">
        <v>1</v>
      </c>
      <c r="F2" t="s">
        <v>62</v>
      </c>
      <c r="G2" t="s">
        <v>68</v>
      </c>
      <c r="H2" t="s">
        <v>76</v>
      </c>
      <c r="I2" t="s">
        <v>63</v>
      </c>
      <c r="J2" t="s">
        <v>40</v>
      </c>
      <c r="K2" t="s">
        <v>78</v>
      </c>
      <c r="L2" t="s">
        <v>49</v>
      </c>
      <c r="M2" t="s">
        <v>45</v>
      </c>
      <c r="Z2">
        <v>0</v>
      </c>
      <c r="AA2">
        <v>0</v>
      </c>
    </row>
    <row r="3" spans="1:27" ht="16.5" x14ac:dyDescent="0.3">
      <c r="A3" t="s">
        <v>36</v>
      </c>
      <c r="B3">
        <v>2</v>
      </c>
      <c r="C3">
        <v>2</v>
      </c>
      <c r="D3" s="2" t="s">
        <v>31</v>
      </c>
      <c r="E3">
        <v>1</v>
      </c>
      <c r="G3" t="s">
        <v>64</v>
      </c>
      <c r="H3" t="s">
        <v>41</v>
      </c>
      <c r="I3" t="s">
        <v>65</v>
      </c>
      <c r="J3" t="s">
        <v>70</v>
      </c>
      <c r="K3" t="s">
        <v>86</v>
      </c>
      <c r="L3" t="s">
        <v>54</v>
      </c>
      <c r="M3" t="s">
        <v>60</v>
      </c>
    </row>
    <row r="4" spans="1:27" ht="16.5" x14ac:dyDescent="0.3">
      <c r="A4" t="s">
        <v>37</v>
      </c>
      <c r="B4">
        <v>3</v>
      </c>
      <c r="C4">
        <v>3</v>
      </c>
      <c r="D4" s="2" t="s">
        <v>31</v>
      </c>
      <c r="E4">
        <v>1</v>
      </c>
      <c r="H4" t="s">
        <v>55</v>
      </c>
      <c r="I4" t="s">
        <v>74</v>
      </c>
      <c r="J4" t="s">
        <v>72</v>
      </c>
      <c r="K4" t="s">
        <v>75</v>
      </c>
      <c r="L4" t="s">
        <v>39</v>
      </c>
      <c r="M4" t="s">
        <v>57</v>
      </c>
    </row>
    <row r="5" spans="1:27" ht="16.5" x14ac:dyDescent="0.3">
      <c r="A5" t="s">
        <v>38</v>
      </c>
      <c r="B5">
        <v>4</v>
      </c>
      <c r="C5">
        <v>4</v>
      </c>
      <c r="D5" s="2" t="s">
        <v>31</v>
      </c>
      <c r="E5">
        <v>1</v>
      </c>
      <c r="I5" t="s">
        <v>46</v>
      </c>
      <c r="J5" t="s">
        <v>52</v>
      </c>
      <c r="K5" t="s">
        <v>56</v>
      </c>
      <c r="L5" t="s">
        <v>47</v>
      </c>
      <c r="M5" t="s">
        <v>59</v>
      </c>
    </row>
    <row r="6" spans="1:27" ht="16.5" x14ac:dyDescent="0.3">
      <c r="A6" t="s">
        <v>39</v>
      </c>
      <c r="B6">
        <v>5</v>
      </c>
      <c r="C6">
        <v>5</v>
      </c>
      <c r="D6" s="2" t="s">
        <v>31</v>
      </c>
      <c r="E6">
        <v>1</v>
      </c>
      <c r="J6" t="s">
        <v>58</v>
      </c>
      <c r="K6" t="s">
        <v>50</v>
      </c>
      <c r="L6" t="s">
        <v>53</v>
      </c>
      <c r="M6" t="s">
        <v>48</v>
      </c>
    </row>
    <row r="7" spans="1:27" ht="16.5" x14ac:dyDescent="0.3">
      <c r="A7" t="s">
        <v>40</v>
      </c>
      <c r="B7">
        <v>6</v>
      </c>
      <c r="C7">
        <v>6</v>
      </c>
      <c r="D7" s="2" t="s">
        <v>31</v>
      </c>
      <c r="E7">
        <v>1</v>
      </c>
      <c r="K7" t="s">
        <v>51</v>
      </c>
      <c r="L7" t="s">
        <v>71</v>
      </c>
      <c r="M7" t="s">
        <v>69</v>
      </c>
    </row>
    <row r="8" spans="1:27" ht="16.5" x14ac:dyDescent="0.3">
      <c r="A8" t="s">
        <v>41</v>
      </c>
      <c r="B8">
        <v>7</v>
      </c>
      <c r="C8">
        <v>7</v>
      </c>
      <c r="D8" s="2" t="s">
        <v>31</v>
      </c>
      <c r="E8">
        <v>1</v>
      </c>
      <c r="L8" t="s">
        <v>44</v>
      </c>
      <c r="M8" t="s">
        <v>61</v>
      </c>
    </row>
    <row r="9" spans="1:27" ht="16.5" x14ac:dyDescent="0.3">
      <c r="A9" t="s">
        <v>42</v>
      </c>
      <c r="B9">
        <v>8</v>
      </c>
      <c r="C9">
        <v>8</v>
      </c>
      <c r="D9" s="2" t="s">
        <v>31</v>
      </c>
      <c r="E9">
        <v>1</v>
      </c>
      <c r="M9" t="s">
        <v>77</v>
      </c>
    </row>
    <row r="10" spans="1:27" ht="16.5" x14ac:dyDescent="0.3">
      <c r="A10" t="s">
        <v>43</v>
      </c>
      <c r="B10">
        <v>9</v>
      </c>
      <c r="C10">
        <v>9</v>
      </c>
      <c r="D10" s="2" t="s">
        <v>31</v>
      </c>
      <c r="E10">
        <v>1</v>
      </c>
      <c r="M10" t="s">
        <v>79</v>
      </c>
    </row>
    <row r="11" spans="1:27" ht="16.5" x14ac:dyDescent="0.3">
      <c r="A11" t="s">
        <v>44</v>
      </c>
      <c r="B11">
        <v>10</v>
      </c>
      <c r="C11">
        <v>10</v>
      </c>
      <c r="D11" s="2" t="s">
        <v>31</v>
      </c>
      <c r="E11">
        <v>1</v>
      </c>
      <c r="M11" t="s">
        <v>66</v>
      </c>
    </row>
    <row r="12" spans="1:27" ht="16.5" x14ac:dyDescent="0.3">
      <c r="A12" t="s">
        <v>45</v>
      </c>
      <c r="B12">
        <v>11</v>
      </c>
      <c r="C12">
        <v>11</v>
      </c>
      <c r="D12" s="2" t="s">
        <v>31</v>
      </c>
      <c r="E12">
        <v>1</v>
      </c>
      <c r="M12" t="s">
        <v>67</v>
      </c>
    </row>
    <row r="13" spans="1:27" ht="16.5" x14ac:dyDescent="0.3">
      <c r="A13" t="s">
        <v>46</v>
      </c>
      <c r="B13">
        <v>12</v>
      </c>
      <c r="C13">
        <v>12</v>
      </c>
      <c r="D13" s="2" t="s">
        <v>31</v>
      </c>
      <c r="E13">
        <v>1</v>
      </c>
      <c r="M13" t="s">
        <v>73</v>
      </c>
    </row>
    <row r="14" spans="1:27" ht="16.5" x14ac:dyDescent="0.3">
      <c r="A14" t="s">
        <v>47</v>
      </c>
      <c r="B14">
        <v>13</v>
      </c>
      <c r="C14">
        <v>13</v>
      </c>
      <c r="D14" s="2" t="s">
        <v>31</v>
      </c>
      <c r="E14">
        <v>1</v>
      </c>
      <c r="M14" t="s">
        <v>80</v>
      </c>
    </row>
    <row r="15" spans="1:27" ht="16.5" x14ac:dyDescent="0.3">
      <c r="A15" t="s">
        <v>48</v>
      </c>
      <c r="B15">
        <v>14</v>
      </c>
      <c r="C15">
        <v>1</v>
      </c>
      <c r="D15" s="2" t="s">
        <v>32</v>
      </c>
      <c r="E15">
        <v>2</v>
      </c>
      <c r="M15" t="s">
        <v>81</v>
      </c>
    </row>
    <row r="16" spans="1:27" ht="16.5" x14ac:dyDescent="0.3">
      <c r="A16" t="s">
        <v>49</v>
      </c>
      <c r="B16">
        <v>15</v>
      </c>
      <c r="C16">
        <v>2</v>
      </c>
      <c r="D16" s="2" t="s">
        <v>32</v>
      </c>
      <c r="E16">
        <v>2</v>
      </c>
      <c r="M16" t="s">
        <v>82</v>
      </c>
    </row>
    <row r="17" spans="1:14" ht="16.5" x14ac:dyDescent="0.3">
      <c r="A17" t="s">
        <v>50</v>
      </c>
      <c r="B17">
        <v>16</v>
      </c>
      <c r="C17">
        <v>3</v>
      </c>
      <c r="D17" s="2" t="s">
        <v>32</v>
      </c>
      <c r="E17">
        <v>2</v>
      </c>
      <c r="M17" t="s">
        <v>83</v>
      </c>
    </row>
    <row r="18" spans="1:14" ht="16.5" x14ac:dyDescent="0.3">
      <c r="A18" t="s">
        <v>51</v>
      </c>
      <c r="B18">
        <v>17</v>
      </c>
      <c r="C18">
        <v>4</v>
      </c>
      <c r="D18" s="2" t="s">
        <v>32</v>
      </c>
      <c r="E18">
        <v>2</v>
      </c>
      <c r="M18" t="s">
        <v>84</v>
      </c>
    </row>
    <row r="19" spans="1:14" ht="16.5" x14ac:dyDescent="0.3">
      <c r="A19" t="s">
        <v>52</v>
      </c>
      <c r="B19">
        <v>18</v>
      </c>
      <c r="C19">
        <v>5</v>
      </c>
      <c r="D19" s="2" t="s">
        <v>32</v>
      </c>
      <c r="E19">
        <v>2</v>
      </c>
      <c r="M19" t="s">
        <v>85</v>
      </c>
    </row>
    <row r="20" spans="1:14" ht="16.5" x14ac:dyDescent="0.3">
      <c r="A20" t="s">
        <v>53</v>
      </c>
      <c r="B20">
        <v>19</v>
      </c>
      <c r="C20">
        <v>6</v>
      </c>
      <c r="D20" s="2" t="s">
        <v>32</v>
      </c>
      <c r="E20">
        <v>2</v>
      </c>
      <c r="M20" t="s">
        <v>42</v>
      </c>
    </row>
    <row r="21" spans="1:14" ht="16.5" x14ac:dyDescent="0.3">
      <c r="A21" t="s">
        <v>54</v>
      </c>
      <c r="B21">
        <v>20</v>
      </c>
      <c r="C21">
        <v>7</v>
      </c>
      <c r="D21" s="2" t="s">
        <v>32</v>
      </c>
      <c r="E21">
        <v>2</v>
      </c>
      <c r="M21" t="s">
        <v>43</v>
      </c>
    </row>
    <row r="22" spans="1:14" ht="16.5" x14ac:dyDescent="0.3">
      <c r="A22" t="s">
        <v>55</v>
      </c>
      <c r="B22">
        <v>21</v>
      </c>
      <c r="C22">
        <v>8</v>
      </c>
      <c r="D22" s="2" t="s">
        <v>32</v>
      </c>
      <c r="E22">
        <v>2</v>
      </c>
      <c r="M22" t="s">
        <v>35</v>
      </c>
    </row>
    <row r="23" spans="1:14" ht="16.5" x14ac:dyDescent="0.3">
      <c r="A23" t="s">
        <v>56</v>
      </c>
      <c r="B23">
        <v>22</v>
      </c>
      <c r="C23">
        <v>9</v>
      </c>
      <c r="D23" s="2" t="s">
        <v>32</v>
      </c>
      <c r="E23">
        <v>2</v>
      </c>
      <c r="M23" t="s">
        <v>36</v>
      </c>
    </row>
    <row r="24" spans="1:14" ht="16.5" x14ac:dyDescent="0.3">
      <c r="A24" t="s">
        <v>57</v>
      </c>
      <c r="B24">
        <v>23</v>
      </c>
      <c r="C24">
        <v>10</v>
      </c>
      <c r="D24" s="2" t="s">
        <v>32</v>
      </c>
      <c r="E24">
        <v>2</v>
      </c>
      <c r="M24" t="s">
        <v>37</v>
      </c>
    </row>
    <row r="25" spans="1:14" ht="16.5" x14ac:dyDescent="0.3">
      <c r="A25" t="s">
        <v>58</v>
      </c>
      <c r="B25">
        <v>24</v>
      </c>
      <c r="C25">
        <v>11</v>
      </c>
      <c r="D25" s="2" t="s">
        <v>32</v>
      </c>
      <c r="E25">
        <v>2</v>
      </c>
      <c r="M25" t="s">
        <v>38</v>
      </c>
    </row>
    <row r="26" spans="1:14" ht="16.5" x14ac:dyDescent="0.3">
      <c r="A26" t="s">
        <v>59</v>
      </c>
      <c r="B26">
        <v>25</v>
      </c>
      <c r="C26">
        <v>12</v>
      </c>
      <c r="D26" s="2" t="s">
        <v>32</v>
      </c>
      <c r="E26">
        <v>2</v>
      </c>
      <c r="M26" t="s">
        <v>7</v>
      </c>
      <c r="N26" t="s">
        <v>6</v>
      </c>
    </row>
    <row r="27" spans="1:14" ht="16.5" x14ac:dyDescent="0.3">
      <c r="A27" t="s">
        <v>60</v>
      </c>
      <c r="B27">
        <v>26</v>
      </c>
      <c r="C27">
        <v>13</v>
      </c>
      <c r="D27" s="2" t="s">
        <v>32</v>
      </c>
      <c r="E27">
        <v>2</v>
      </c>
    </row>
    <row r="28" spans="1:14" ht="16.5" x14ac:dyDescent="0.3">
      <c r="A28" t="s">
        <v>61</v>
      </c>
      <c r="B28">
        <v>27</v>
      </c>
      <c r="C28">
        <v>1</v>
      </c>
      <c r="D28" s="2" t="s">
        <v>33</v>
      </c>
      <c r="E28">
        <v>2</v>
      </c>
    </row>
    <row r="29" spans="1:14" ht="16.5" x14ac:dyDescent="0.3">
      <c r="A29" t="s">
        <v>62</v>
      </c>
      <c r="B29">
        <v>28</v>
      </c>
      <c r="C29">
        <v>2</v>
      </c>
      <c r="D29" s="2" t="s">
        <v>33</v>
      </c>
      <c r="E29">
        <v>2</v>
      </c>
    </row>
    <row r="30" spans="1:14" ht="16.5" x14ac:dyDescent="0.3">
      <c r="A30" t="s">
        <v>63</v>
      </c>
      <c r="B30">
        <v>29</v>
      </c>
      <c r="C30">
        <v>3</v>
      </c>
      <c r="D30" s="2" t="s">
        <v>33</v>
      </c>
      <c r="E30">
        <v>2</v>
      </c>
    </row>
    <row r="31" spans="1:14" ht="16.5" x14ac:dyDescent="0.3">
      <c r="A31" t="s">
        <v>64</v>
      </c>
      <c r="B31">
        <v>30</v>
      </c>
      <c r="C31">
        <v>4</v>
      </c>
      <c r="D31" s="2" t="s">
        <v>33</v>
      </c>
      <c r="E31">
        <v>2</v>
      </c>
    </row>
    <row r="32" spans="1:14" ht="16.5" x14ac:dyDescent="0.3">
      <c r="A32" t="s">
        <v>65</v>
      </c>
      <c r="B32">
        <v>31</v>
      </c>
      <c r="C32">
        <v>5</v>
      </c>
      <c r="D32" s="2" t="s">
        <v>33</v>
      </c>
      <c r="E32">
        <v>2</v>
      </c>
    </row>
    <row r="33" spans="1:5" ht="16.5" x14ac:dyDescent="0.3">
      <c r="A33" t="s">
        <v>66</v>
      </c>
      <c r="B33">
        <v>32</v>
      </c>
      <c r="C33">
        <v>6</v>
      </c>
      <c r="D33" s="2" t="s">
        <v>33</v>
      </c>
      <c r="E33">
        <v>2</v>
      </c>
    </row>
    <row r="34" spans="1:5" ht="16.5" x14ac:dyDescent="0.3">
      <c r="A34" t="s">
        <v>67</v>
      </c>
      <c r="B34">
        <v>33</v>
      </c>
      <c r="C34">
        <v>7</v>
      </c>
      <c r="D34" s="2" t="s">
        <v>33</v>
      </c>
      <c r="E34">
        <v>2</v>
      </c>
    </row>
    <row r="35" spans="1:5" ht="16.5" x14ac:dyDescent="0.3">
      <c r="A35" t="s">
        <v>68</v>
      </c>
      <c r="B35">
        <v>34</v>
      </c>
      <c r="C35">
        <v>8</v>
      </c>
      <c r="D35" s="2" t="s">
        <v>33</v>
      </c>
      <c r="E35">
        <v>2</v>
      </c>
    </row>
    <row r="36" spans="1:5" ht="16.5" x14ac:dyDescent="0.3">
      <c r="A36" t="s">
        <v>69</v>
      </c>
      <c r="B36">
        <v>35</v>
      </c>
      <c r="C36">
        <v>9</v>
      </c>
      <c r="D36" s="2" t="s">
        <v>33</v>
      </c>
      <c r="E36">
        <v>2</v>
      </c>
    </row>
    <row r="37" spans="1:5" ht="16.5" x14ac:dyDescent="0.3">
      <c r="A37" t="s">
        <v>70</v>
      </c>
      <c r="B37">
        <v>36</v>
      </c>
      <c r="C37">
        <v>10</v>
      </c>
      <c r="D37" s="2" t="s">
        <v>33</v>
      </c>
      <c r="E37">
        <v>2</v>
      </c>
    </row>
    <row r="38" spans="1:5" ht="16.5" x14ac:dyDescent="0.3">
      <c r="A38" t="s">
        <v>71</v>
      </c>
      <c r="B38">
        <v>37</v>
      </c>
      <c r="C38">
        <v>11</v>
      </c>
      <c r="D38" s="2" t="s">
        <v>33</v>
      </c>
      <c r="E38">
        <v>2</v>
      </c>
    </row>
    <row r="39" spans="1:5" ht="16.5" x14ac:dyDescent="0.3">
      <c r="A39" t="s">
        <v>72</v>
      </c>
      <c r="B39">
        <v>38</v>
      </c>
      <c r="C39">
        <v>12</v>
      </c>
      <c r="D39" s="2" t="s">
        <v>33</v>
      </c>
      <c r="E39">
        <v>2</v>
      </c>
    </row>
    <row r="40" spans="1:5" ht="16.5" x14ac:dyDescent="0.3">
      <c r="A40" t="s">
        <v>73</v>
      </c>
      <c r="B40">
        <v>39</v>
      </c>
      <c r="C40">
        <v>13</v>
      </c>
      <c r="D40" s="2" t="s">
        <v>33</v>
      </c>
      <c r="E40">
        <v>2</v>
      </c>
    </row>
    <row r="41" spans="1:5" ht="16.5" x14ac:dyDescent="0.3">
      <c r="A41" t="s">
        <v>74</v>
      </c>
      <c r="B41">
        <v>40</v>
      </c>
      <c r="C41">
        <v>1</v>
      </c>
      <c r="D41" s="2" t="s">
        <v>34</v>
      </c>
      <c r="E41">
        <v>1</v>
      </c>
    </row>
    <row r="42" spans="1:5" ht="16.5" x14ac:dyDescent="0.3">
      <c r="A42" t="s">
        <v>75</v>
      </c>
      <c r="B42">
        <v>41</v>
      </c>
      <c r="C42">
        <v>2</v>
      </c>
      <c r="D42" s="2" t="s">
        <v>34</v>
      </c>
      <c r="E42">
        <v>1</v>
      </c>
    </row>
    <row r="43" spans="1:5" ht="16.5" x14ac:dyDescent="0.3">
      <c r="A43" t="s">
        <v>76</v>
      </c>
      <c r="B43">
        <v>42</v>
      </c>
      <c r="C43">
        <v>3</v>
      </c>
      <c r="D43" s="2" t="s">
        <v>34</v>
      </c>
      <c r="E43">
        <v>1</v>
      </c>
    </row>
    <row r="44" spans="1:5" ht="16.5" x14ac:dyDescent="0.3">
      <c r="A44" t="s">
        <v>77</v>
      </c>
      <c r="B44">
        <v>43</v>
      </c>
      <c r="C44">
        <v>4</v>
      </c>
      <c r="D44" s="2" t="s">
        <v>34</v>
      </c>
      <c r="E44">
        <v>1</v>
      </c>
    </row>
    <row r="45" spans="1:5" ht="16.5" x14ac:dyDescent="0.3">
      <c r="A45" t="s">
        <v>78</v>
      </c>
      <c r="B45">
        <v>44</v>
      </c>
      <c r="C45">
        <v>5</v>
      </c>
      <c r="D45" s="2" t="s">
        <v>34</v>
      </c>
      <c r="E45">
        <v>1</v>
      </c>
    </row>
    <row r="46" spans="1:5" ht="16.5" x14ac:dyDescent="0.3">
      <c r="A46" t="s">
        <v>79</v>
      </c>
      <c r="B46">
        <v>45</v>
      </c>
      <c r="C46">
        <v>6</v>
      </c>
      <c r="D46" s="2" t="s">
        <v>34</v>
      </c>
      <c r="E46">
        <v>1</v>
      </c>
    </row>
    <row r="47" spans="1:5" ht="16.5" x14ac:dyDescent="0.3">
      <c r="A47" t="s">
        <v>80</v>
      </c>
      <c r="B47">
        <v>46</v>
      </c>
      <c r="C47">
        <v>7</v>
      </c>
      <c r="D47" s="2" t="s">
        <v>34</v>
      </c>
      <c r="E47">
        <v>1</v>
      </c>
    </row>
    <row r="48" spans="1:5" ht="16.5" x14ac:dyDescent="0.3">
      <c r="A48" t="s">
        <v>81</v>
      </c>
      <c r="B48">
        <v>47</v>
      </c>
      <c r="C48">
        <v>8</v>
      </c>
      <c r="D48" s="2" t="s">
        <v>34</v>
      </c>
      <c r="E48">
        <v>1</v>
      </c>
    </row>
    <row r="49" spans="1:5" ht="16.5" x14ac:dyDescent="0.3">
      <c r="A49" t="s">
        <v>82</v>
      </c>
      <c r="B49">
        <v>48</v>
      </c>
      <c r="C49">
        <v>9</v>
      </c>
      <c r="D49" s="2" t="s">
        <v>34</v>
      </c>
      <c r="E49">
        <v>1</v>
      </c>
    </row>
    <row r="50" spans="1:5" ht="16.5" x14ac:dyDescent="0.3">
      <c r="A50" t="s">
        <v>83</v>
      </c>
      <c r="B50">
        <v>49</v>
      </c>
      <c r="C50">
        <v>10</v>
      </c>
      <c r="D50" s="2" t="s">
        <v>34</v>
      </c>
      <c r="E50">
        <v>1</v>
      </c>
    </row>
    <row r="51" spans="1:5" ht="16.5" x14ac:dyDescent="0.3">
      <c r="A51" t="s">
        <v>84</v>
      </c>
      <c r="B51">
        <v>50</v>
      </c>
      <c r="C51">
        <v>11</v>
      </c>
      <c r="D51" s="2" t="s">
        <v>34</v>
      </c>
      <c r="E51">
        <v>1</v>
      </c>
    </row>
    <row r="52" spans="1:5" ht="16.5" x14ac:dyDescent="0.3">
      <c r="A52" t="s">
        <v>85</v>
      </c>
      <c r="B52">
        <v>51</v>
      </c>
      <c r="C52">
        <v>12</v>
      </c>
      <c r="D52" s="2" t="s">
        <v>34</v>
      </c>
      <c r="E52">
        <v>1</v>
      </c>
    </row>
    <row r="53" spans="1:5" ht="16.5" x14ac:dyDescent="0.3">
      <c r="A53" t="s">
        <v>86</v>
      </c>
      <c r="B53">
        <v>52</v>
      </c>
      <c r="C53">
        <v>13</v>
      </c>
      <c r="D53" s="2" t="s">
        <v>34</v>
      </c>
      <c r="E53">
        <v>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F80"/>
  <sheetViews>
    <sheetView topLeftCell="D1" workbookViewId="0">
      <selection activeCell="G13" sqref="G13"/>
    </sheetView>
  </sheetViews>
  <sheetFormatPr defaultRowHeight="15" x14ac:dyDescent="0.25"/>
  <cols>
    <col min="1" max="16384" width="9.140625" style="3"/>
  </cols>
  <sheetData>
    <row r="1" spans="1:32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>
        <f>COUNTA(F2:F35)</f>
        <v>34</v>
      </c>
      <c r="G1" t="s">
        <v>5</v>
      </c>
      <c r="H1">
        <f t="shared" ref="H1:P1" si="0">COUNTA(H2:H10)</f>
        <v>1</v>
      </c>
      <c r="I1">
        <f t="shared" si="0"/>
        <v>2</v>
      </c>
      <c r="J1">
        <f t="shared" si="0"/>
        <v>3</v>
      </c>
      <c r="K1">
        <f t="shared" si="0"/>
        <v>4</v>
      </c>
      <c r="L1">
        <f t="shared" si="0"/>
        <v>5</v>
      </c>
      <c r="M1">
        <f t="shared" si="0"/>
        <v>6</v>
      </c>
      <c r="N1">
        <f t="shared" si="0"/>
        <v>7</v>
      </c>
      <c r="O1">
        <f t="shared" si="0"/>
        <v>8</v>
      </c>
      <c r="P1">
        <f t="shared" si="0"/>
        <v>9</v>
      </c>
      <c r="Q1">
        <f>COUNTA(Q2:Q23)</f>
        <v>0</v>
      </c>
      <c r="R1">
        <f t="shared" ref="R1:Y1" si="1">COUNTA(R2:R23)</f>
        <v>0</v>
      </c>
      <c r="S1">
        <f t="shared" si="1"/>
        <v>0</v>
      </c>
      <c r="T1">
        <f t="shared" si="1"/>
        <v>0</v>
      </c>
      <c r="U1">
        <f t="shared" si="1"/>
        <v>0</v>
      </c>
      <c r="V1">
        <f t="shared" si="1"/>
        <v>0</v>
      </c>
      <c r="W1">
        <f t="shared" si="1"/>
        <v>0</v>
      </c>
      <c r="X1">
        <f t="shared" si="1"/>
        <v>0</v>
      </c>
      <c r="Y1">
        <f t="shared" si="1"/>
        <v>0</v>
      </c>
      <c r="Z1">
        <f>COUNTA(Z2:Z15)</f>
        <v>0</v>
      </c>
      <c r="AA1">
        <f t="shared" ref="AA1:AC1" si="2">COUNTA(AA2:AA15)</f>
        <v>0</v>
      </c>
      <c r="AB1">
        <f t="shared" si="2"/>
        <v>0</v>
      </c>
      <c r="AC1">
        <f t="shared" si="2"/>
        <v>0</v>
      </c>
      <c r="AD1">
        <f>COUNTA(AD2:AD23)</f>
        <v>0</v>
      </c>
      <c r="AE1" s="3" t="s">
        <v>169</v>
      </c>
      <c r="AF1" s="3" t="s">
        <v>170</v>
      </c>
    </row>
    <row r="2" spans="1:32" ht="16.5" x14ac:dyDescent="0.3">
      <c r="A2" s="2" t="s">
        <v>35</v>
      </c>
      <c r="B2" s="2">
        <v>1</v>
      </c>
      <c r="C2" s="2">
        <v>1</v>
      </c>
      <c r="D2" s="2" t="s">
        <v>31</v>
      </c>
      <c r="E2" s="2">
        <v>1</v>
      </c>
      <c r="F2" s="2" t="s">
        <v>111</v>
      </c>
      <c r="G2" s="2"/>
      <c r="H2" s="2" t="s">
        <v>117</v>
      </c>
      <c r="I2" s="2" t="s">
        <v>158</v>
      </c>
      <c r="J2" s="2" t="s">
        <v>156</v>
      </c>
      <c r="K2" s="2" t="s">
        <v>105</v>
      </c>
      <c r="L2" s="2" t="s">
        <v>43</v>
      </c>
      <c r="M2" s="2" t="s">
        <v>109</v>
      </c>
      <c r="N2" s="2" t="s">
        <v>47</v>
      </c>
      <c r="O2" s="2" t="s">
        <v>116</v>
      </c>
      <c r="P2" s="2" t="s">
        <v>110</v>
      </c>
      <c r="Q2"/>
      <c r="R2"/>
      <c r="S2"/>
      <c r="T2"/>
      <c r="U2"/>
      <c r="V2"/>
      <c r="W2"/>
      <c r="X2"/>
      <c r="Y2"/>
      <c r="Z2"/>
      <c r="AA2"/>
      <c r="AB2"/>
      <c r="AC2"/>
      <c r="AD2"/>
      <c r="AE2" s="3">
        <v>0</v>
      </c>
      <c r="AF2" s="3">
        <v>0</v>
      </c>
    </row>
    <row r="3" spans="1:32" ht="16.5" x14ac:dyDescent="0.3">
      <c r="A3" s="2" t="s">
        <v>36</v>
      </c>
      <c r="B3" s="2">
        <v>2</v>
      </c>
      <c r="C3" s="2">
        <v>2</v>
      </c>
      <c r="D3" s="2" t="s">
        <v>31</v>
      </c>
      <c r="E3" s="2">
        <v>1</v>
      </c>
      <c r="F3" s="2" t="s">
        <v>37</v>
      </c>
      <c r="G3" s="2"/>
      <c r="I3" s="2" t="s">
        <v>131</v>
      </c>
      <c r="J3" s="2" t="s">
        <v>136</v>
      </c>
      <c r="K3" s="2" t="s">
        <v>143</v>
      </c>
      <c r="L3" s="2" t="s">
        <v>38</v>
      </c>
      <c r="M3" s="2" t="s">
        <v>46</v>
      </c>
      <c r="N3" s="2" t="s">
        <v>118</v>
      </c>
      <c r="O3" s="2" t="s">
        <v>124</v>
      </c>
      <c r="P3" s="2" t="s">
        <v>144</v>
      </c>
      <c r="Q3"/>
      <c r="R3"/>
      <c r="S3"/>
      <c r="T3"/>
      <c r="U3"/>
      <c r="V3"/>
      <c r="W3"/>
      <c r="X3"/>
      <c r="Y3"/>
      <c r="Z3"/>
      <c r="AA3"/>
      <c r="AB3"/>
      <c r="AC3"/>
      <c r="AD3"/>
    </row>
    <row r="4" spans="1:32" ht="16.5" x14ac:dyDescent="0.3">
      <c r="A4" s="2" t="s">
        <v>37</v>
      </c>
      <c r="B4" s="2">
        <v>3</v>
      </c>
      <c r="C4" s="2">
        <v>3</v>
      </c>
      <c r="D4" s="2" t="s">
        <v>31</v>
      </c>
      <c r="E4" s="2">
        <v>1</v>
      </c>
      <c r="F4" s="2" t="s">
        <v>132</v>
      </c>
      <c r="G4" s="2"/>
      <c r="J4" s="2" t="s">
        <v>142</v>
      </c>
      <c r="K4" s="2" t="s">
        <v>159</v>
      </c>
      <c r="L4" s="2" t="s">
        <v>129</v>
      </c>
      <c r="M4" s="2" t="s">
        <v>122</v>
      </c>
      <c r="N4" s="2" t="s">
        <v>153</v>
      </c>
      <c r="O4" s="2" t="s">
        <v>137</v>
      </c>
      <c r="P4" s="2" t="s">
        <v>154</v>
      </c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2" ht="16.5" x14ac:dyDescent="0.3">
      <c r="A5" s="2" t="s">
        <v>38</v>
      </c>
      <c r="B5" s="2">
        <v>4</v>
      </c>
      <c r="C5" s="2">
        <v>4</v>
      </c>
      <c r="D5" s="2" t="s">
        <v>31</v>
      </c>
      <c r="E5" s="2">
        <v>1</v>
      </c>
      <c r="F5" s="2" t="s">
        <v>155</v>
      </c>
      <c r="G5" s="2"/>
      <c r="K5" s="2" t="s">
        <v>149</v>
      </c>
      <c r="L5" s="2" t="s">
        <v>161</v>
      </c>
      <c r="M5" s="2" t="s">
        <v>146</v>
      </c>
      <c r="N5" s="2" t="s">
        <v>147</v>
      </c>
      <c r="O5" s="2" t="s">
        <v>125</v>
      </c>
      <c r="P5" s="2" t="s">
        <v>164</v>
      </c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2" ht="16.5" x14ac:dyDescent="0.3">
      <c r="A6" s="2" t="s">
        <v>39</v>
      </c>
      <c r="B6" s="2">
        <v>5</v>
      </c>
      <c r="C6" s="2">
        <v>5</v>
      </c>
      <c r="D6" s="2" t="s">
        <v>31</v>
      </c>
      <c r="E6" s="2">
        <v>1</v>
      </c>
      <c r="F6" s="2" t="s">
        <v>145</v>
      </c>
      <c r="G6" s="2"/>
      <c r="L6" s="2" t="s">
        <v>121</v>
      </c>
      <c r="M6" s="2" t="s">
        <v>168</v>
      </c>
      <c r="N6" s="2" t="s">
        <v>112</v>
      </c>
      <c r="O6" s="2" t="s">
        <v>167</v>
      </c>
      <c r="P6" s="2" t="s">
        <v>133</v>
      </c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2" ht="16.5" x14ac:dyDescent="0.3">
      <c r="A7" s="2" t="s">
        <v>40</v>
      </c>
      <c r="B7" s="2">
        <v>6</v>
      </c>
      <c r="C7" s="2">
        <v>6</v>
      </c>
      <c r="D7" s="2" t="s">
        <v>31</v>
      </c>
      <c r="E7" s="2">
        <v>1</v>
      </c>
      <c r="F7" s="2" t="s">
        <v>120</v>
      </c>
      <c r="G7" s="2"/>
      <c r="M7" s="2" t="s">
        <v>123</v>
      </c>
      <c r="N7" s="2" t="s">
        <v>115</v>
      </c>
      <c r="O7" s="2" t="s">
        <v>106</v>
      </c>
      <c r="P7" s="2" t="s">
        <v>151</v>
      </c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2" ht="16.5" x14ac:dyDescent="0.3">
      <c r="A8" s="2" t="s">
        <v>41</v>
      </c>
      <c r="B8" s="2">
        <v>7</v>
      </c>
      <c r="C8" s="2">
        <v>7</v>
      </c>
      <c r="D8" s="2" t="s">
        <v>31</v>
      </c>
      <c r="E8" s="2">
        <v>1</v>
      </c>
      <c r="F8" s="2" t="s">
        <v>36</v>
      </c>
      <c r="G8" s="2"/>
      <c r="N8" s="2" t="s">
        <v>163</v>
      </c>
      <c r="O8" s="2" t="s">
        <v>107</v>
      </c>
      <c r="P8" s="2" t="s">
        <v>150</v>
      </c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2" ht="16.5" x14ac:dyDescent="0.3">
      <c r="A9" s="2" t="s">
        <v>42</v>
      </c>
      <c r="B9" s="2">
        <v>8</v>
      </c>
      <c r="C9" s="2">
        <v>8</v>
      </c>
      <c r="D9" s="2" t="s">
        <v>31</v>
      </c>
      <c r="E9" s="2">
        <v>1</v>
      </c>
      <c r="F9" s="2" t="s">
        <v>39</v>
      </c>
      <c r="G9" s="2"/>
      <c r="O9" s="2" t="s">
        <v>45</v>
      </c>
      <c r="P9" s="2" t="s">
        <v>40</v>
      </c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2" ht="16.5" x14ac:dyDescent="0.3">
      <c r="A10" s="2" t="s">
        <v>43</v>
      </c>
      <c r="B10" s="2">
        <v>9</v>
      </c>
      <c r="C10" s="2">
        <v>9</v>
      </c>
      <c r="D10" s="2" t="s">
        <v>31</v>
      </c>
      <c r="E10" s="2">
        <v>1</v>
      </c>
      <c r="F10" s="2" t="s">
        <v>127</v>
      </c>
      <c r="G10" s="2"/>
      <c r="P10" s="2" t="s">
        <v>108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2" ht="16.5" x14ac:dyDescent="0.3">
      <c r="A11" s="2" t="s">
        <v>44</v>
      </c>
      <c r="B11" s="2">
        <v>10</v>
      </c>
      <c r="C11" s="2">
        <v>10</v>
      </c>
      <c r="D11" s="2" t="s">
        <v>31</v>
      </c>
      <c r="E11" s="2">
        <v>1</v>
      </c>
      <c r="F11" s="2" t="s">
        <v>35</v>
      </c>
      <c r="G11" s="2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2" ht="16.5" x14ac:dyDescent="0.3">
      <c r="A12" s="2" t="s">
        <v>45</v>
      </c>
      <c r="B12" s="2">
        <v>11</v>
      </c>
      <c r="C12" s="2">
        <v>11</v>
      </c>
      <c r="D12" s="2" t="s">
        <v>31</v>
      </c>
      <c r="E12" s="2">
        <v>1</v>
      </c>
      <c r="F12" s="2" t="s">
        <v>42</v>
      </c>
      <c r="G12" s="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2" ht="16.5" x14ac:dyDescent="0.3">
      <c r="A13" s="2" t="s">
        <v>105</v>
      </c>
      <c r="B13" s="2">
        <v>12</v>
      </c>
      <c r="C13" s="2">
        <v>12</v>
      </c>
      <c r="D13" s="2" t="s">
        <v>31</v>
      </c>
      <c r="E13" s="2">
        <v>1</v>
      </c>
      <c r="F13" s="2" t="s">
        <v>119</v>
      </c>
      <c r="G13" s="2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2" ht="16.5" x14ac:dyDescent="0.3">
      <c r="A14" s="2" t="s">
        <v>46</v>
      </c>
      <c r="B14" s="2">
        <v>13</v>
      </c>
      <c r="C14" s="2">
        <v>13</v>
      </c>
      <c r="D14" s="2" t="s">
        <v>31</v>
      </c>
      <c r="E14" s="2">
        <v>1</v>
      </c>
      <c r="F14" t="s">
        <v>114</v>
      </c>
      <c r="G14" s="2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2" ht="16.5" x14ac:dyDescent="0.3">
      <c r="A15" s="2" t="s">
        <v>47</v>
      </c>
      <c r="B15" s="2">
        <v>14</v>
      </c>
      <c r="C15" s="2">
        <v>14</v>
      </c>
      <c r="D15" s="2" t="s">
        <v>31</v>
      </c>
      <c r="E15" s="2">
        <v>1</v>
      </c>
      <c r="F15" s="2" t="s">
        <v>165</v>
      </c>
      <c r="G15" s="2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2" ht="16.5" x14ac:dyDescent="0.3">
      <c r="A16" s="2" t="s">
        <v>106</v>
      </c>
      <c r="B16" s="2">
        <v>15</v>
      </c>
      <c r="C16" s="2">
        <v>1</v>
      </c>
      <c r="D16" s="2" t="s">
        <v>104</v>
      </c>
      <c r="E16" s="2">
        <v>2</v>
      </c>
      <c r="F16" s="2" t="s">
        <v>113</v>
      </c>
      <c r="G16" s="2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ht="16.5" x14ac:dyDescent="0.3">
      <c r="A17" s="2" t="s">
        <v>107</v>
      </c>
      <c r="B17" s="2">
        <v>16</v>
      </c>
      <c r="C17" s="2">
        <v>2</v>
      </c>
      <c r="D17" s="2" t="s">
        <v>104</v>
      </c>
      <c r="E17" s="2">
        <v>2</v>
      </c>
      <c r="F17" s="2" t="s">
        <v>171</v>
      </c>
      <c r="G17" s="2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ht="16.5" x14ac:dyDescent="0.3">
      <c r="A18" s="2" t="s">
        <v>108</v>
      </c>
      <c r="B18" s="2">
        <v>17</v>
      </c>
      <c r="C18" s="2">
        <v>3</v>
      </c>
      <c r="D18" s="2" t="s">
        <v>104</v>
      </c>
      <c r="E18" s="2">
        <v>2</v>
      </c>
      <c r="F18" s="2" t="s">
        <v>148</v>
      </c>
      <c r="G18" s="2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ht="16.5" x14ac:dyDescent="0.3">
      <c r="A19" s="2" t="s">
        <v>109</v>
      </c>
      <c r="B19" s="2">
        <v>18</v>
      </c>
      <c r="C19" s="2">
        <v>4</v>
      </c>
      <c r="D19" s="2" t="s">
        <v>104</v>
      </c>
      <c r="E19" s="2">
        <v>2</v>
      </c>
      <c r="F19" s="2" t="s">
        <v>126</v>
      </c>
      <c r="G19" s="2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ht="16.5" x14ac:dyDescent="0.3">
      <c r="A20" s="2" t="s">
        <v>110</v>
      </c>
      <c r="B20" s="2">
        <v>19</v>
      </c>
      <c r="C20" s="2">
        <v>5</v>
      </c>
      <c r="D20" s="2" t="s">
        <v>104</v>
      </c>
      <c r="E20" s="2">
        <v>2</v>
      </c>
      <c r="F20" s="2" t="s">
        <v>128</v>
      </c>
      <c r="G20" s="2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ht="16.5" x14ac:dyDescent="0.3">
      <c r="A21" s="2" t="s">
        <v>111</v>
      </c>
      <c r="B21" s="2">
        <v>20</v>
      </c>
      <c r="C21" s="2">
        <v>6</v>
      </c>
      <c r="D21" s="2" t="s">
        <v>104</v>
      </c>
      <c r="E21" s="2">
        <v>2</v>
      </c>
      <c r="F21" s="2" t="s">
        <v>141</v>
      </c>
      <c r="G21" s="2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ht="16.5" x14ac:dyDescent="0.3">
      <c r="A22" s="2" t="s">
        <v>112</v>
      </c>
      <c r="B22" s="2">
        <v>21</v>
      </c>
      <c r="C22" s="2">
        <v>7</v>
      </c>
      <c r="D22" s="2" t="s">
        <v>104</v>
      </c>
      <c r="E22" s="2">
        <v>2</v>
      </c>
      <c r="F22" s="2" t="s">
        <v>130</v>
      </c>
      <c r="G22" s="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ht="16.5" x14ac:dyDescent="0.3">
      <c r="A23" s="2" t="s">
        <v>113</v>
      </c>
      <c r="B23" s="2">
        <v>22</v>
      </c>
      <c r="C23" s="2">
        <v>8</v>
      </c>
      <c r="D23" s="2" t="s">
        <v>104</v>
      </c>
      <c r="E23" s="2">
        <v>2</v>
      </c>
      <c r="F23" s="2" t="s">
        <v>135</v>
      </c>
      <c r="G23" s="2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ht="16.5" x14ac:dyDescent="0.3">
      <c r="A24" s="2" t="s">
        <v>114</v>
      </c>
      <c r="B24" s="2">
        <v>23</v>
      </c>
      <c r="C24" s="2">
        <v>9</v>
      </c>
      <c r="D24" s="2" t="s">
        <v>104</v>
      </c>
      <c r="E24" s="2">
        <v>2</v>
      </c>
      <c r="F24" s="2" t="s">
        <v>134</v>
      </c>
      <c r="G24" s="2"/>
    </row>
    <row r="25" spans="1:30" ht="16.5" x14ac:dyDescent="0.3">
      <c r="A25" s="2" t="s">
        <v>115</v>
      </c>
      <c r="B25" s="2">
        <v>24</v>
      </c>
      <c r="C25" s="2">
        <v>10</v>
      </c>
      <c r="D25" s="2" t="s">
        <v>104</v>
      </c>
      <c r="E25" s="2">
        <v>2</v>
      </c>
      <c r="F25" s="2" t="s">
        <v>140</v>
      </c>
      <c r="G25" s="2"/>
    </row>
    <row r="26" spans="1:30" ht="16.5" x14ac:dyDescent="0.3">
      <c r="A26" s="2" t="s">
        <v>116</v>
      </c>
      <c r="B26" s="2">
        <v>25</v>
      </c>
      <c r="C26" s="2">
        <v>11</v>
      </c>
      <c r="D26" s="2" t="s">
        <v>104</v>
      </c>
      <c r="E26" s="2">
        <v>2</v>
      </c>
      <c r="F26" s="2" t="s">
        <v>166</v>
      </c>
      <c r="G26" s="2"/>
    </row>
    <row r="27" spans="1:30" ht="16.5" x14ac:dyDescent="0.3">
      <c r="A27" s="2" t="s">
        <v>117</v>
      </c>
      <c r="B27" s="2">
        <v>26</v>
      </c>
      <c r="C27" s="2">
        <v>12</v>
      </c>
      <c r="D27" s="2" t="s">
        <v>104</v>
      </c>
      <c r="E27" s="2">
        <v>2</v>
      </c>
      <c r="F27" s="2" t="s">
        <v>138</v>
      </c>
      <c r="G27" s="2"/>
    </row>
    <row r="28" spans="1:30" ht="16.5" x14ac:dyDescent="0.3">
      <c r="A28" s="2" t="s">
        <v>118</v>
      </c>
      <c r="B28" s="2">
        <v>27</v>
      </c>
      <c r="C28" s="2">
        <v>13</v>
      </c>
      <c r="D28" s="2" t="s">
        <v>104</v>
      </c>
      <c r="E28" s="2">
        <v>2</v>
      </c>
      <c r="F28" s="2" t="s">
        <v>41</v>
      </c>
      <c r="G28" s="2"/>
    </row>
    <row r="29" spans="1:30" ht="16.5" x14ac:dyDescent="0.3">
      <c r="A29" s="2" t="s">
        <v>119</v>
      </c>
      <c r="B29" s="2">
        <v>28</v>
      </c>
      <c r="C29" s="2">
        <v>14</v>
      </c>
      <c r="D29" s="2" t="s">
        <v>104</v>
      </c>
      <c r="E29" s="2">
        <v>2</v>
      </c>
      <c r="F29" s="2" t="s">
        <v>139</v>
      </c>
      <c r="G29" s="2"/>
    </row>
    <row r="30" spans="1:30" ht="16.5" x14ac:dyDescent="0.3">
      <c r="A30" s="2" t="s">
        <v>120</v>
      </c>
      <c r="B30" s="2">
        <v>29</v>
      </c>
      <c r="C30" s="2">
        <v>1</v>
      </c>
      <c r="D30" s="2" t="s">
        <v>97</v>
      </c>
      <c r="E30" s="2">
        <v>2</v>
      </c>
      <c r="F30" s="2" t="s">
        <v>44</v>
      </c>
      <c r="G30" s="2"/>
    </row>
    <row r="31" spans="1:30" ht="16.5" x14ac:dyDescent="0.3">
      <c r="A31" s="2" t="s">
        <v>121</v>
      </c>
      <c r="B31" s="2">
        <v>30</v>
      </c>
      <c r="C31" s="2">
        <v>2</v>
      </c>
      <c r="D31" s="2" t="s">
        <v>97</v>
      </c>
      <c r="E31" s="2">
        <v>2</v>
      </c>
      <c r="F31" s="2" t="s">
        <v>152</v>
      </c>
      <c r="G31" s="2"/>
    </row>
    <row r="32" spans="1:30" ht="16.5" x14ac:dyDescent="0.3">
      <c r="A32" s="2" t="s">
        <v>122</v>
      </c>
      <c r="B32" s="2">
        <v>31</v>
      </c>
      <c r="C32" s="2">
        <v>3</v>
      </c>
      <c r="D32" s="2" t="s">
        <v>97</v>
      </c>
      <c r="E32" s="2">
        <v>2</v>
      </c>
      <c r="F32" s="2" t="s">
        <v>157</v>
      </c>
      <c r="G32" s="2"/>
    </row>
    <row r="33" spans="1:7" ht="16.5" x14ac:dyDescent="0.3">
      <c r="A33" s="2" t="s">
        <v>123</v>
      </c>
      <c r="B33" s="2">
        <v>32</v>
      </c>
      <c r="C33" s="2">
        <v>4</v>
      </c>
      <c r="D33" s="2" t="s">
        <v>97</v>
      </c>
      <c r="E33" s="2">
        <v>2</v>
      </c>
      <c r="F33" s="2" t="s">
        <v>160</v>
      </c>
      <c r="G33" s="2"/>
    </row>
    <row r="34" spans="1:7" ht="16.5" x14ac:dyDescent="0.3">
      <c r="A34" s="2" t="s">
        <v>124</v>
      </c>
      <c r="B34" s="2">
        <v>33</v>
      </c>
      <c r="C34" s="2">
        <v>5</v>
      </c>
      <c r="D34" s="2" t="s">
        <v>97</v>
      </c>
      <c r="E34" s="2">
        <v>2</v>
      </c>
      <c r="F34" s="2" t="s">
        <v>162</v>
      </c>
      <c r="G34" s="2"/>
    </row>
    <row r="35" spans="1:7" ht="16.5" x14ac:dyDescent="0.3">
      <c r="A35" s="2" t="s">
        <v>125</v>
      </c>
      <c r="B35" s="2">
        <v>34</v>
      </c>
      <c r="C35" s="2">
        <v>6</v>
      </c>
      <c r="D35" s="2" t="s">
        <v>97</v>
      </c>
      <c r="E35" s="2">
        <v>2</v>
      </c>
      <c r="F35" s="2" t="s">
        <v>7</v>
      </c>
      <c r="G35" s="2" t="s">
        <v>6</v>
      </c>
    </row>
    <row r="36" spans="1:7" ht="16.5" x14ac:dyDescent="0.3">
      <c r="A36" s="2" t="s">
        <v>126</v>
      </c>
      <c r="B36" s="2">
        <v>35</v>
      </c>
      <c r="C36" s="2">
        <v>7</v>
      </c>
      <c r="D36" s="2" t="s">
        <v>97</v>
      </c>
      <c r="E36" s="2">
        <v>2</v>
      </c>
      <c r="F36" s="2"/>
      <c r="G36" s="2"/>
    </row>
    <row r="37" spans="1:7" ht="16.5" x14ac:dyDescent="0.3">
      <c r="A37" s="2" t="s">
        <v>127</v>
      </c>
      <c r="B37" s="2">
        <v>36</v>
      </c>
      <c r="C37" s="2">
        <v>8</v>
      </c>
      <c r="D37" s="2" t="s">
        <v>97</v>
      </c>
      <c r="E37" s="2">
        <v>2</v>
      </c>
      <c r="F37" s="2"/>
      <c r="G37" s="2"/>
    </row>
    <row r="38" spans="1:7" ht="16.5" x14ac:dyDescent="0.3">
      <c r="A38" s="2" t="s">
        <v>128</v>
      </c>
      <c r="B38" s="2">
        <v>37</v>
      </c>
      <c r="C38" s="2">
        <v>9</v>
      </c>
      <c r="D38" s="2" t="s">
        <v>97</v>
      </c>
      <c r="E38" s="2">
        <v>2</v>
      </c>
      <c r="F38" s="2"/>
      <c r="G38" s="2"/>
    </row>
    <row r="39" spans="1:7" ht="16.5" x14ac:dyDescent="0.3">
      <c r="A39" s="2" t="s">
        <v>129</v>
      </c>
      <c r="B39" s="2">
        <v>38</v>
      </c>
      <c r="C39" s="2">
        <v>10</v>
      </c>
      <c r="D39" s="2" t="s">
        <v>97</v>
      </c>
      <c r="E39" s="2">
        <v>2</v>
      </c>
      <c r="F39" s="2"/>
      <c r="G39" s="2"/>
    </row>
    <row r="40" spans="1:7" ht="16.5" x14ac:dyDescent="0.3">
      <c r="A40" s="2" t="s">
        <v>130</v>
      </c>
      <c r="B40" s="2">
        <v>39</v>
      </c>
      <c r="C40" s="2">
        <v>11</v>
      </c>
      <c r="D40" s="2" t="s">
        <v>97</v>
      </c>
      <c r="E40" s="2">
        <v>2</v>
      </c>
      <c r="F40" s="2"/>
      <c r="G40" s="2"/>
    </row>
    <row r="41" spans="1:7" ht="16.5" x14ac:dyDescent="0.3">
      <c r="A41" s="2" t="s">
        <v>131</v>
      </c>
      <c r="B41" s="2">
        <v>40</v>
      </c>
      <c r="C41" s="2">
        <v>12</v>
      </c>
      <c r="D41" s="2" t="s">
        <v>97</v>
      </c>
      <c r="E41" s="2">
        <v>2</v>
      </c>
      <c r="F41" s="2"/>
      <c r="G41" s="2"/>
    </row>
    <row r="42" spans="1:7" ht="16.5" x14ac:dyDescent="0.3">
      <c r="A42" s="2" t="s">
        <v>132</v>
      </c>
      <c r="B42" s="2">
        <v>41</v>
      </c>
      <c r="C42" s="2">
        <v>13</v>
      </c>
      <c r="D42" s="2" t="s">
        <v>97</v>
      </c>
      <c r="E42" s="2">
        <v>2</v>
      </c>
      <c r="F42" s="2"/>
      <c r="G42" s="2"/>
    </row>
    <row r="43" spans="1:7" ht="16.5" x14ac:dyDescent="0.3">
      <c r="A43" s="2" t="s">
        <v>133</v>
      </c>
      <c r="B43" s="2">
        <v>42</v>
      </c>
      <c r="C43" s="2">
        <v>14</v>
      </c>
      <c r="D43" s="2" t="s">
        <v>97</v>
      </c>
      <c r="E43" s="2">
        <v>2</v>
      </c>
      <c r="F43" s="2"/>
      <c r="G43" s="2"/>
    </row>
    <row r="44" spans="1:7" ht="16.5" x14ac:dyDescent="0.3">
      <c r="A44" s="2" t="s">
        <v>134</v>
      </c>
      <c r="B44" s="2">
        <v>43</v>
      </c>
      <c r="C44" s="2">
        <v>1</v>
      </c>
      <c r="D44" s="2" t="s">
        <v>98</v>
      </c>
      <c r="E44" s="2">
        <v>1</v>
      </c>
      <c r="F44" s="2"/>
      <c r="G44" s="2"/>
    </row>
    <row r="45" spans="1:7" ht="16.5" x14ac:dyDescent="0.3">
      <c r="A45" s="2" t="s">
        <v>135</v>
      </c>
      <c r="B45" s="2">
        <v>44</v>
      </c>
      <c r="C45" s="2">
        <v>2</v>
      </c>
      <c r="D45" s="2" t="s">
        <v>98</v>
      </c>
      <c r="E45" s="2">
        <v>1</v>
      </c>
      <c r="F45" s="2"/>
      <c r="G45" s="2"/>
    </row>
    <row r="46" spans="1:7" ht="16.5" x14ac:dyDescent="0.3">
      <c r="A46" s="2" t="s">
        <v>136</v>
      </c>
      <c r="B46" s="2">
        <v>45</v>
      </c>
      <c r="C46" s="2">
        <v>3</v>
      </c>
      <c r="D46" s="2" t="s">
        <v>98</v>
      </c>
      <c r="E46" s="2">
        <v>1</v>
      </c>
      <c r="F46" s="2"/>
      <c r="G46" s="2"/>
    </row>
    <row r="47" spans="1:7" ht="16.5" x14ac:dyDescent="0.3">
      <c r="A47" s="2" t="s">
        <v>137</v>
      </c>
      <c r="B47" s="2">
        <v>46</v>
      </c>
      <c r="C47" s="2">
        <v>4</v>
      </c>
      <c r="D47" s="2" t="s">
        <v>98</v>
      </c>
      <c r="E47" s="2">
        <v>1</v>
      </c>
      <c r="F47" s="2"/>
      <c r="G47" s="2"/>
    </row>
    <row r="48" spans="1:7" ht="16.5" x14ac:dyDescent="0.3">
      <c r="A48" s="2" t="s">
        <v>138</v>
      </c>
      <c r="B48" s="2">
        <v>47</v>
      </c>
      <c r="C48" s="2">
        <v>5</v>
      </c>
      <c r="D48" s="2" t="s">
        <v>98</v>
      </c>
      <c r="E48" s="2">
        <v>1</v>
      </c>
      <c r="F48" s="2"/>
      <c r="G48" s="2"/>
    </row>
    <row r="49" spans="1:7" ht="16.5" x14ac:dyDescent="0.3">
      <c r="A49" s="2" t="s">
        <v>139</v>
      </c>
      <c r="B49" s="2">
        <v>48</v>
      </c>
      <c r="C49" s="2">
        <v>6</v>
      </c>
      <c r="D49" s="2" t="s">
        <v>98</v>
      </c>
      <c r="E49" s="2">
        <v>1</v>
      </c>
      <c r="F49" s="2"/>
      <c r="G49" s="2"/>
    </row>
    <row r="50" spans="1:7" ht="16.5" x14ac:dyDescent="0.3">
      <c r="A50" s="2" t="s">
        <v>140</v>
      </c>
      <c r="B50" s="2">
        <v>49</v>
      </c>
      <c r="C50" s="2">
        <v>7</v>
      </c>
      <c r="D50" s="2" t="s">
        <v>98</v>
      </c>
      <c r="E50" s="2">
        <v>1</v>
      </c>
      <c r="F50" s="2"/>
      <c r="G50" s="2"/>
    </row>
    <row r="51" spans="1:7" ht="16.5" x14ac:dyDescent="0.3">
      <c r="A51" s="2" t="s">
        <v>141</v>
      </c>
      <c r="B51" s="2">
        <v>50</v>
      </c>
      <c r="C51" s="2">
        <v>8</v>
      </c>
      <c r="D51" s="2" t="s">
        <v>98</v>
      </c>
      <c r="E51" s="2">
        <v>1</v>
      </c>
      <c r="F51" s="2"/>
      <c r="G51" s="2"/>
    </row>
    <row r="52" spans="1:7" ht="16.5" x14ac:dyDescent="0.3">
      <c r="A52" s="2" t="s">
        <v>142</v>
      </c>
      <c r="B52" s="2">
        <v>51</v>
      </c>
      <c r="C52" s="2">
        <v>9</v>
      </c>
      <c r="D52" s="2" t="s">
        <v>98</v>
      </c>
      <c r="E52" s="2">
        <v>1</v>
      </c>
      <c r="F52" s="2"/>
      <c r="G52" s="2"/>
    </row>
    <row r="53" spans="1:7" ht="16.5" x14ac:dyDescent="0.3">
      <c r="A53" s="2" t="s">
        <v>143</v>
      </c>
      <c r="B53" s="2">
        <v>52</v>
      </c>
      <c r="C53" s="2">
        <v>10</v>
      </c>
      <c r="D53" s="2" t="s">
        <v>98</v>
      </c>
      <c r="E53" s="2">
        <v>1</v>
      </c>
      <c r="F53" s="2"/>
      <c r="G53" s="2"/>
    </row>
    <row r="54" spans="1:7" ht="16.5" x14ac:dyDescent="0.3">
      <c r="A54" s="2" t="s">
        <v>144</v>
      </c>
      <c r="B54" s="2">
        <v>53</v>
      </c>
      <c r="C54" s="2">
        <v>11</v>
      </c>
      <c r="D54" s="2" t="s">
        <v>98</v>
      </c>
      <c r="E54" s="2">
        <v>1</v>
      </c>
      <c r="F54" s="2"/>
      <c r="G54" s="2"/>
    </row>
    <row r="55" spans="1:7" ht="16.5" x14ac:dyDescent="0.3">
      <c r="A55" s="2" t="s">
        <v>145</v>
      </c>
      <c r="B55" s="2">
        <v>54</v>
      </c>
      <c r="C55" s="2">
        <v>12</v>
      </c>
      <c r="D55" s="2" t="s">
        <v>98</v>
      </c>
      <c r="E55" s="2">
        <v>1</v>
      </c>
      <c r="F55" s="2"/>
      <c r="G55" s="2"/>
    </row>
    <row r="56" spans="1:7" ht="16.5" x14ac:dyDescent="0.3">
      <c r="A56" s="2" t="s">
        <v>146</v>
      </c>
      <c r="B56" s="2">
        <v>55</v>
      </c>
      <c r="C56" s="2">
        <v>13</v>
      </c>
      <c r="D56" s="2" t="s">
        <v>98</v>
      </c>
      <c r="E56" s="2">
        <v>1</v>
      </c>
      <c r="F56" s="2"/>
      <c r="G56" s="2"/>
    </row>
    <row r="57" spans="1:7" ht="16.5" x14ac:dyDescent="0.3">
      <c r="A57" s="2" t="s">
        <v>147</v>
      </c>
      <c r="B57" s="2">
        <v>56</v>
      </c>
      <c r="C57" s="2">
        <v>14</v>
      </c>
      <c r="D57" s="2" t="s">
        <v>98</v>
      </c>
      <c r="E57" s="2">
        <v>1</v>
      </c>
      <c r="F57" s="2"/>
      <c r="G57" s="2"/>
    </row>
    <row r="58" spans="1:7" ht="16.5" x14ac:dyDescent="0.3">
      <c r="A58" s="2" t="s">
        <v>171</v>
      </c>
      <c r="B58" s="2">
        <v>57</v>
      </c>
      <c r="C58" s="2">
        <v>0</v>
      </c>
      <c r="D58" s="2" t="s">
        <v>24</v>
      </c>
      <c r="E58" s="2">
        <v>3</v>
      </c>
      <c r="F58" s="2"/>
      <c r="G58" s="2"/>
    </row>
    <row r="59" spans="1:7" ht="16.5" x14ac:dyDescent="0.3">
      <c r="A59" s="2" t="s">
        <v>148</v>
      </c>
      <c r="B59" s="2">
        <v>58</v>
      </c>
      <c r="C59" s="2">
        <v>1</v>
      </c>
      <c r="D59" s="2" t="s">
        <v>25</v>
      </c>
      <c r="E59" s="2">
        <v>4</v>
      </c>
      <c r="F59" s="2"/>
      <c r="G59" s="2"/>
    </row>
    <row r="60" spans="1:7" ht="16.5" x14ac:dyDescent="0.3">
      <c r="A60" s="2" t="s">
        <v>149</v>
      </c>
      <c r="B60" s="2">
        <v>59</v>
      </c>
      <c r="C60" s="2">
        <v>2</v>
      </c>
      <c r="D60" s="2" t="s">
        <v>26</v>
      </c>
      <c r="E60" s="2">
        <v>5</v>
      </c>
      <c r="F60" s="2"/>
      <c r="G60" s="2"/>
    </row>
    <row r="61" spans="1:7" ht="16.5" x14ac:dyDescent="0.3">
      <c r="A61" s="2" t="s">
        <v>150</v>
      </c>
      <c r="B61" s="2">
        <v>60</v>
      </c>
      <c r="C61" s="2">
        <v>3</v>
      </c>
      <c r="D61" s="2" t="s">
        <v>27</v>
      </c>
      <c r="E61" s="2">
        <v>6</v>
      </c>
      <c r="F61" s="2"/>
      <c r="G61" s="2"/>
    </row>
    <row r="62" spans="1:7" ht="16.5" x14ac:dyDescent="0.3">
      <c r="A62" s="2" t="s">
        <v>151</v>
      </c>
      <c r="B62" s="2">
        <v>61</v>
      </c>
      <c r="C62" s="2">
        <v>4</v>
      </c>
      <c r="D62" s="2" t="s">
        <v>12</v>
      </c>
      <c r="E62" s="2">
        <v>7</v>
      </c>
      <c r="F62" s="2"/>
      <c r="G62" s="2"/>
    </row>
    <row r="63" spans="1:7" ht="16.5" x14ac:dyDescent="0.3">
      <c r="A63" s="2" t="s">
        <v>152</v>
      </c>
      <c r="B63" s="2">
        <v>62</v>
      </c>
      <c r="C63" s="2">
        <v>5</v>
      </c>
      <c r="D63" s="2" t="s">
        <v>13</v>
      </c>
      <c r="E63" s="2">
        <v>8</v>
      </c>
      <c r="F63" s="2"/>
      <c r="G63" s="2"/>
    </row>
    <row r="64" spans="1:7" ht="16.5" x14ac:dyDescent="0.3">
      <c r="A64" s="2" t="s">
        <v>153</v>
      </c>
      <c r="B64" s="2">
        <v>63</v>
      </c>
      <c r="C64" s="2">
        <v>6</v>
      </c>
      <c r="D64" s="2" t="s">
        <v>14</v>
      </c>
      <c r="E64" s="2">
        <v>9</v>
      </c>
      <c r="F64" s="2"/>
      <c r="G64" s="2"/>
    </row>
    <row r="65" spans="1:7" ht="16.5" x14ac:dyDescent="0.3">
      <c r="A65" s="2" t="s">
        <v>154</v>
      </c>
      <c r="B65" s="2">
        <v>64</v>
      </c>
      <c r="C65" s="2">
        <v>7</v>
      </c>
      <c r="D65" s="2" t="s">
        <v>15</v>
      </c>
      <c r="E65" s="2">
        <v>10</v>
      </c>
      <c r="F65" s="2"/>
      <c r="G65" s="2"/>
    </row>
    <row r="66" spans="1:7" ht="16.5" x14ac:dyDescent="0.3">
      <c r="A66" s="2" t="s">
        <v>155</v>
      </c>
      <c r="B66" s="2">
        <v>65</v>
      </c>
      <c r="C66" s="2">
        <v>8</v>
      </c>
      <c r="D66" s="2" t="s">
        <v>16</v>
      </c>
      <c r="E66" s="2">
        <v>11</v>
      </c>
      <c r="F66" s="2"/>
      <c r="G66" s="2"/>
    </row>
    <row r="67" spans="1:7" ht="16.5" x14ac:dyDescent="0.3">
      <c r="A67" s="2" t="s">
        <v>156</v>
      </c>
      <c r="B67" s="2">
        <v>66</v>
      </c>
      <c r="C67" s="2">
        <v>9</v>
      </c>
      <c r="D67" s="2" t="s">
        <v>17</v>
      </c>
      <c r="E67" s="2">
        <v>12</v>
      </c>
      <c r="F67" s="2"/>
      <c r="G67" s="2"/>
    </row>
    <row r="68" spans="1:7" ht="16.5" x14ac:dyDescent="0.3">
      <c r="A68" s="2" t="s">
        <v>157</v>
      </c>
      <c r="B68" s="2">
        <v>67</v>
      </c>
      <c r="C68" s="2">
        <v>10</v>
      </c>
      <c r="D68" s="2" t="s">
        <v>101</v>
      </c>
      <c r="E68" s="2">
        <v>13</v>
      </c>
      <c r="F68" s="2"/>
      <c r="G68" s="2"/>
    </row>
    <row r="69" spans="1:7" ht="16.5" x14ac:dyDescent="0.3">
      <c r="A69" s="2" t="s">
        <v>158</v>
      </c>
      <c r="B69" s="2">
        <v>68</v>
      </c>
      <c r="C69" s="2">
        <v>11</v>
      </c>
      <c r="D69" s="2" t="s">
        <v>18</v>
      </c>
      <c r="E69" s="2">
        <v>14</v>
      </c>
      <c r="F69" s="2"/>
      <c r="G69" s="2"/>
    </row>
    <row r="70" spans="1:7" ht="16.5" x14ac:dyDescent="0.3">
      <c r="A70" s="2" t="s">
        <v>159</v>
      </c>
      <c r="B70" s="2">
        <v>69</v>
      </c>
      <c r="C70" s="2">
        <v>12</v>
      </c>
      <c r="D70" s="2" t="s">
        <v>102</v>
      </c>
      <c r="E70" s="2">
        <v>15</v>
      </c>
      <c r="F70" s="2"/>
      <c r="G70" s="2"/>
    </row>
    <row r="71" spans="1:7" ht="16.5" x14ac:dyDescent="0.3">
      <c r="A71" s="2" t="s">
        <v>160</v>
      </c>
      <c r="B71" s="2">
        <v>70</v>
      </c>
      <c r="C71" s="2">
        <v>13</v>
      </c>
      <c r="D71" s="2" t="s">
        <v>19</v>
      </c>
      <c r="E71" s="2">
        <v>16</v>
      </c>
      <c r="F71" s="2"/>
      <c r="G71" s="2"/>
    </row>
    <row r="72" spans="1:7" ht="16.5" x14ac:dyDescent="0.3">
      <c r="A72" s="2" t="s">
        <v>161</v>
      </c>
      <c r="B72" s="2">
        <v>71</v>
      </c>
      <c r="C72" s="2">
        <v>14</v>
      </c>
      <c r="D72" s="2" t="s">
        <v>20</v>
      </c>
      <c r="E72" s="2">
        <v>17</v>
      </c>
      <c r="F72" s="2"/>
      <c r="G72" s="2"/>
    </row>
    <row r="73" spans="1:7" ht="16.5" x14ac:dyDescent="0.3">
      <c r="A73" s="2" t="s">
        <v>162</v>
      </c>
      <c r="B73" s="2">
        <v>72</v>
      </c>
      <c r="C73" s="2">
        <v>15</v>
      </c>
      <c r="D73" s="2" t="s">
        <v>21</v>
      </c>
      <c r="E73" s="2">
        <v>18</v>
      </c>
      <c r="F73" s="2"/>
      <c r="G73" s="2"/>
    </row>
    <row r="74" spans="1:7" ht="16.5" x14ac:dyDescent="0.3">
      <c r="A74" s="2" t="s">
        <v>163</v>
      </c>
      <c r="B74" s="2">
        <v>73</v>
      </c>
      <c r="C74" s="2">
        <v>16</v>
      </c>
      <c r="D74" s="2" t="s">
        <v>29</v>
      </c>
      <c r="E74" s="2">
        <v>19</v>
      </c>
      <c r="F74" s="2"/>
      <c r="G74" s="2"/>
    </row>
    <row r="75" spans="1:7" ht="16.5" x14ac:dyDescent="0.3">
      <c r="A75" s="2" t="s">
        <v>164</v>
      </c>
      <c r="B75" s="2">
        <v>74</v>
      </c>
      <c r="C75" s="2">
        <v>17</v>
      </c>
      <c r="D75" s="2" t="s">
        <v>22</v>
      </c>
      <c r="E75" s="2">
        <v>20</v>
      </c>
      <c r="F75" s="2"/>
      <c r="G75" s="2"/>
    </row>
    <row r="76" spans="1:7" ht="16.5" x14ac:dyDescent="0.3">
      <c r="A76" s="2" t="s">
        <v>165</v>
      </c>
      <c r="B76" s="2">
        <v>75</v>
      </c>
      <c r="C76" s="2">
        <v>18</v>
      </c>
      <c r="D76" s="2" t="s">
        <v>23</v>
      </c>
      <c r="E76" s="2">
        <v>21</v>
      </c>
      <c r="F76" s="2"/>
      <c r="G76" s="2"/>
    </row>
    <row r="77" spans="1:7" ht="16.5" x14ac:dyDescent="0.3">
      <c r="A77" s="2" t="s">
        <v>166</v>
      </c>
      <c r="B77" s="2">
        <v>76</v>
      </c>
      <c r="C77" s="2">
        <v>19</v>
      </c>
      <c r="D77" s="2" t="s">
        <v>28</v>
      </c>
      <c r="E77" s="2">
        <v>22</v>
      </c>
      <c r="F77" s="2"/>
      <c r="G77" s="2"/>
    </row>
    <row r="78" spans="1:7" ht="16.5" x14ac:dyDescent="0.3">
      <c r="A78" s="2" t="s">
        <v>167</v>
      </c>
      <c r="B78" s="2">
        <v>77</v>
      </c>
      <c r="C78" s="2">
        <v>20</v>
      </c>
      <c r="D78" s="2" t="s">
        <v>30</v>
      </c>
      <c r="E78" s="2">
        <v>23</v>
      </c>
      <c r="F78" s="2"/>
      <c r="G78" s="2"/>
    </row>
    <row r="79" spans="1:7" ht="16.5" x14ac:dyDescent="0.3">
      <c r="A79" s="2" t="s">
        <v>168</v>
      </c>
      <c r="B79" s="2">
        <v>78</v>
      </c>
      <c r="C79" s="2">
        <v>21</v>
      </c>
      <c r="D79" s="2" t="s">
        <v>103</v>
      </c>
      <c r="E79" s="2">
        <v>24</v>
      </c>
      <c r="F79" s="2"/>
      <c r="G79" s="2"/>
    </row>
    <row r="80" spans="1:7" ht="16.5" x14ac:dyDescent="0.3">
      <c r="D80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26"/>
  <sheetViews>
    <sheetView tabSelected="1" workbookViewId="0">
      <selection activeCell="B2" sqref="B2"/>
    </sheetView>
  </sheetViews>
  <sheetFormatPr defaultRowHeight="15" x14ac:dyDescent="0.25"/>
  <sheetData>
    <row r="1" spans="1:13" ht="15.75" x14ac:dyDescent="0.3">
      <c r="A1" s="4" t="str">
        <f>INDEX(BG!M2:M26,MATCH("x",BG!N2:N26,0))</f>
        <v>o</v>
      </c>
      <c r="B1" s="4"/>
      <c r="C1" s="4"/>
      <c r="D1" s="4" t="str">
        <f>IFERROR(INDEX(BG!O$2:O$14,COUNTA(BG!O$2:O$14)),"♧")</f>
        <v>♧</v>
      </c>
      <c r="E1" s="4" t="str">
        <f>IFERROR(INDEX(BG!P$2:P$14,COUNTA(BG!P$2:P$14)),"♢")</f>
        <v>♢</v>
      </c>
      <c r="F1" s="4" t="str">
        <f>IFERROR(INDEX(BG!Q$2:Q$14,COUNTA(BG!Q$2:Q$14)),"♡")</f>
        <v>♡</v>
      </c>
      <c r="G1" s="4" t="str">
        <f>IFERROR(INDEX(BG!R$2:R$14,COUNTA(BG!R$2:R$14)),"♤")</f>
        <v>♤</v>
      </c>
      <c r="I1" t="s">
        <v>8</v>
      </c>
      <c r="L1" t="s">
        <v>10</v>
      </c>
    </row>
    <row r="2" spans="1:13" ht="15.75" x14ac:dyDescent="0.3">
      <c r="A2" s="4"/>
      <c r="B2" s="4" t="str">
        <f>IF(INDEX(BG!M1:M27,MATCH("x",BG!N1:N26,0)+1)="o","End of Deck","")</f>
        <v/>
      </c>
      <c r="C2" s="4"/>
      <c r="D2" s="4"/>
      <c r="E2" s="4"/>
      <c r="F2" s="4"/>
      <c r="G2" s="4"/>
      <c r="I2">
        <f>BG!Z2</f>
        <v>0</v>
      </c>
      <c r="L2">
        <v>780</v>
      </c>
      <c r="M2" t="s">
        <v>91</v>
      </c>
    </row>
    <row r="3" spans="1:13" ht="15.75" x14ac:dyDescent="0.3">
      <c r="A3" s="4"/>
      <c r="B3" s="4"/>
      <c r="C3" s="4"/>
      <c r="D3" s="4"/>
      <c r="E3" s="4"/>
      <c r="F3" s="4"/>
      <c r="G3" s="4"/>
      <c r="L3">
        <v>780</v>
      </c>
      <c r="M3" t="s">
        <v>89</v>
      </c>
    </row>
    <row r="4" spans="1:13" ht="15.75" x14ac:dyDescent="0.3">
      <c r="A4" s="4"/>
      <c r="B4" s="4"/>
      <c r="C4" s="4"/>
      <c r="D4" s="4"/>
      <c r="E4" s="4"/>
      <c r="F4" s="4"/>
      <c r="G4" s="4"/>
      <c r="L4">
        <v>770</v>
      </c>
      <c r="M4" t="s">
        <v>11</v>
      </c>
    </row>
    <row r="5" spans="1:13" ht="15.75" x14ac:dyDescent="0.3">
      <c r="A5" s="4"/>
      <c r="B5" s="4"/>
      <c r="C5" s="4"/>
      <c r="D5" s="4"/>
      <c r="E5" s="4"/>
      <c r="F5" s="4"/>
      <c r="G5" s="4"/>
      <c r="L5">
        <v>735</v>
      </c>
      <c r="M5" t="s">
        <v>95</v>
      </c>
    </row>
    <row r="6" spans="1:13" ht="15.75" x14ac:dyDescent="0.3">
      <c r="A6" s="4"/>
      <c r="B6" s="4"/>
      <c r="C6" s="4"/>
      <c r="D6" s="4"/>
      <c r="E6" s="4"/>
      <c r="F6" s="4"/>
      <c r="G6" s="4"/>
      <c r="L6">
        <v>680</v>
      </c>
      <c r="M6" t="s">
        <v>88</v>
      </c>
    </row>
    <row r="7" spans="1:13" ht="15.75" x14ac:dyDescent="0.3">
      <c r="A7" s="4" t="str">
        <f>IF(COUNTA(BG!F$2:F$8)&gt;=ROW(A7)-6,"xx",INDEX(BG!S$2:S$21,ROW(A1)-COUNTIF(A$6:A6,"xx")))</f>
        <v>xx</v>
      </c>
      <c r="B7" s="4" t="str">
        <f>IF(COUNTA(BG!G$2:G$8)&gt;=ROW(B7)-6,"xx",INDEX(BG!T$2:T$21,ROW(B1)-COUNTIF(B$6:B6,"xx")))</f>
        <v>xx</v>
      </c>
      <c r="C7" s="4" t="str">
        <f>IF(COUNTA(BG!H$2:H$8)&gt;=ROW(C7)-6,"xx",INDEX(BG!U$2:U$21,ROW(C1)-COUNTIF(C$6:C6,"xx")))</f>
        <v>xx</v>
      </c>
      <c r="D7" s="4" t="str">
        <f>IF(COUNTA(BG!I$2:I$8)&gt;=ROW(D7)-6,"xx",INDEX(BG!V$2:V$21,ROW(D1)-COUNTIF(D$6:D6,"xx")))</f>
        <v>xx</v>
      </c>
      <c r="E7" s="4" t="str">
        <f>IF(COUNTA(BG!J$2:J$8)&gt;=ROW(E7)-6,"xx",INDEX(BG!W$2:W$21,ROW(E1)-COUNTIF(E$6:E6,"xx")))</f>
        <v>xx</v>
      </c>
      <c r="F7" s="4" t="str">
        <f>IF(COUNTA(BG!K$2:K$8)&gt;=ROW(F7)-6,"xx",INDEX(BG!X$2:X$21,ROW(F1)-COUNTIF(F$6:F6,"xx")))</f>
        <v>xx</v>
      </c>
      <c r="G7" s="4" t="str">
        <f>IF(COUNTA(BG!L$2:L$8)&gt;=ROW(G7)-6,"xx",INDEX(BG!Y$2:Y$21,ROW(G1)-COUNTIF(G$6:G6,"xx")))</f>
        <v>xx</v>
      </c>
      <c r="L7">
        <v>670</v>
      </c>
      <c r="M7" t="s">
        <v>87</v>
      </c>
    </row>
    <row r="8" spans="1:13" ht="15.75" x14ac:dyDescent="0.3">
      <c r="A8" s="4">
        <f>IF(COUNTA(BG!F$2:F$8)&gt;=ROW(A8)-6,"xx",INDEX(BG!S$2:S$21,ROW(A2)-COUNTIF(A$6:A7,"xx")))</f>
        <v>0</v>
      </c>
      <c r="B8" s="4" t="str">
        <f>IF(COUNTA(BG!G$2:G$8)&gt;=ROW(B8)-6,"xx",INDEX(BG!T$2:T$21,ROW(B2)-COUNTIF(B$6:B7,"xx")))</f>
        <v>xx</v>
      </c>
      <c r="C8" s="4" t="str">
        <f>IF(COUNTA(BG!H$2:H$8)&gt;=ROW(C8)-6,"xx",INDEX(BG!U$2:U$21,ROW(C2)-COUNTIF(C$6:C7,"xx")))</f>
        <v>xx</v>
      </c>
      <c r="D8" s="4" t="str">
        <f>IF(COUNTA(BG!I$2:I$8)&gt;=ROW(D8)-6,"xx",INDEX(BG!V$2:V$21,ROW(D2)-COUNTIF(D$6:D7,"xx")))</f>
        <v>xx</v>
      </c>
      <c r="E8" s="4" t="str">
        <f>IF(COUNTA(BG!J$2:J$8)&gt;=ROW(E8)-6,"xx",INDEX(BG!W$2:W$21,ROW(E2)-COUNTIF(E$6:E7,"xx")))</f>
        <v>xx</v>
      </c>
      <c r="F8" s="4" t="str">
        <f>IF(COUNTA(BG!K$2:K$8)&gt;=ROW(F8)-6,"xx",INDEX(BG!X$2:X$21,ROW(F2)-COUNTIF(F$6:F7,"xx")))</f>
        <v>xx</v>
      </c>
      <c r="G8" s="4" t="str">
        <f>IF(COUNTA(BG!L$2:L$8)&gt;=ROW(G8)-6,"xx",INDEX(BG!Y$2:Y$21,ROW(G2)-COUNTIF(G$6:G7,"xx")))</f>
        <v>xx</v>
      </c>
      <c r="I8" s="1"/>
      <c r="L8">
        <v>660</v>
      </c>
      <c r="M8" t="s">
        <v>96</v>
      </c>
    </row>
    <row r="9" spans="1:13" ht="15.75" x14ac:dyDescent="0.3">
      <c r="A9" s="4">
        <f>IF(COUNTA(BG!F$2:F$8)&gt;=ROW(A9)-6,"xx",INDEX(BG!S$2:S$21,ROW(A3)-COUNTIF(A$6:A8,"xx")))</f>
        <v>0</v>
      </c>
      <c r="B9" s="4">
        <f>IF(COUNTA(BG!G$2:G$8)&gt;=ROW(B9)-6,"xx",INDEX(BG!T$2:T$21,ROW(B3)-COUNTIF(B$6:B8,"xx")))</f>
        <v>0</v>
      </c>
      <c r="C9" s="4" t="str">
        <f>IF(COUNTA(BG!H$2:H$8)&gt;=ROW(C9)-6,"xx",INDEX(BG!U$2:U$21,ROW(C3)-COUNTIF(C$6:C8,"xx")))</f>
        <v>xx</v>
      </c>
      <c r="D9" s="4" t="str">
        <f>IF(COUNTA(BG!I$2:I$8)&gt;=ROW(D9)-6,"xx",INDEX(BG!V$2:V$21,ROW(D3)-COUNTIF(D$6:D8,"xx")))</f>
        <v>xx</v>
      </c>
      <c r="E9" s="4" t="str">
        <f>IF(COUNTA(BG!J$2:J$8)&gt;=ROW(E9)-6,"xx",INDEX(BG!W$2:W$21,ROW(E3)-COUNTIF(E$6:E8,"xx")))</f>
        <v>xx</v>
      </c>
      <c r="F9" s="4" t="str">
        <f>IF(COUNTA(BG!K$2:K$8)&gt;=ROW(F9)-6,"xx",INDEX(BG!X$2:X$21,ROW(F3)-COUNTIF(F$6:F8,"xx")))</f>
        <v>xx</v>
      </c>
      <c r="G9" s="4" t="str">
        <f>IF(COUNTA(BG!L$2:L$8)&gt;=ROW(G9)-6,"xx",INDEX(BG!Y$2:Y$21,ROW(G3)-COUNTIF(G$6:G8,"xx")))</f>
        <v>xx</v>
      </c>
      <c r="L9">
        <v>630</v>
      </c>
      <c r="M9" t="s">
        <v>94</v>
      </c>
    </row>
    <row r="10" spans="1:13" ht="15.75" x14ac:dyDescent="0.3">
      <c r="A10" s="4">
        <f>IF(COUNTA(BG!F$2:F$8)&gt;=ROW(A10)-6,"xx",INDEX(BG!S$2:S$21,ROW(A4)-COUNTIF(A$6:A9,"xx")))</f>
        <v>0</v>
      </c>
      <c r="B10" s="4">
        <f>IF(COUNTA(BG!G$2:G$8)&gt;=ROW(B10)-6,"xx",INDEX(BG!T$2:T$21,ROW(B4)-COUNTIF(B$6:B9,"xx")))</f>
        <v>0</v>
      </c>
      <c r="C10" s="4">
        <f>IF(COUNTA(BG!H$2:H$8)&gt;=ROW(C10)-6,"xx",INDEX(BG!U$2:U$21,ROW(C4)-COUNTIF(C$6:C9,"xx")))</f>
        <v>0</v>
      </c>
      <c r="D10" s="4" t="str">
        <f>IF(COUNTA(BG!I$2:I$8)&gt;=ROW(D10)-6,"xx",INDEX(BG!V$2:V$21,ROW(D4)-COUNTIF(D$6:D9,"xx")))</f>
        <v>xx</v>
      </c>
      <c r="E10" s="4" t="str">
        <f>IF(COUNTA(BG!J$2:J$8)&gt;=ROW(E10)-6,"xx",INDEX(BG!W$2:W$21,ROW(E4)-COUNTIF(E$6:E9,"xx")))</f>
        <v>xx</v>
      </c>
      <c r="F10" s="4" t="str">
        <f>IF(COUNTA(BG!K$2:K$8)&gt;=ROW(F10)-6,"xx",INDEX(BG!X$2:X$21,ROW(F4)-COUNTIF(F$6:F9,"xx")))</f>
        <v>xx</v>
      </c>
      <c r="G10" s="4" t="str">
        <f>IF(COUNTA(BG!L$2:L$8)&gt;=ROW(G10)-6,"xx",INDEX(BG!Y$2:Y$21,ROW(G4)-COUNTIF(G$6:G9,"xx")))</f>
        <v>xx</v>
      </c>
      <c r="L10">
        <v>545</v>
      </c>
      <c r="M10" t="s">
        <v>92</v>
      </c>
    </row>
    <row r="11" spans="1:13" ht="15.75" x14ac:dyDescent="0.3">
      <c r="A11" s="4">
        <f>IF(COUNTA(BG!F$2:F$8)&gt;=ROW(A11)-6,"xx",INDEX(BG!S$2:S$21,ROW(A5)-COUNTIF(A$6:A10,"xx")))</f>
        <v>0</v>
      </c>
      <c r="B11" s="4">
        <f>IF(COUNTA(BG!G$2:G$8)&gt;=ROW(B11)-6,"xx",INDEX(BG!T$2:T$21,ROW(B5)-COUNTIF(B$6:B10,"xx")))</f>
        <v>0</v>
      </c>
      <c r="C11" s="4">
        <f>IF(COUNTA(BG!H$2:H$8)&gt;=ROW(C11)-6,"xx",INDEX(BG!U$2:U$21,ROW(C5)-COUNTIF(C$6:C10,"xx")))</f>
        <v>0</v>
      </c>
      <c r="D11" s="4">
        <f>IF(COUNTA(BG!I$2:I$8)&gt;=ROW(D11)-6,"xx",INDEX(BG!V$2:V$21,ROW(D5)-COUNTIF(D$6:D10,"xx")))</f>
        <v>0</v>
      </c>
      <c r="E11" s="4" t="str">
        <f>IF(COUNTA(BG!J$2:J$8)&gt;=ROW(E11)-6,"xx",INDEX(BG!W$2:W$21,ROW(E5)-COUNTIF(E$6:E10,"xx")))</f>
        <v>xx</v>
      </c>
      <c r="F11" s="4" t="str">
        <f>IF(COUNTA(BG!K$2:K$8)&gt;=ROW(F11)-6,"xx",INDEX(BG!X$2:X$21,ROW(F5)-COUNTIF(F$6:F10,"xx")))</f>
        <v>xx</v>
      </c>
      <c r="G11" s="4" t="str">
        <f>IF(COUNTA(BG!L$2:L$8)&gt;=ROW(G11)-6,"xx",INDEX(BG!Y$2:Y$21,ROW(G5)-COUNTIF(G$6:G10,"xx")))</f>
        <v>xx</v>
      </c>
      <c r="L11">
        <v>0</v>
      </c>
    </row>
    <row r="12" spans="1:13" ht="15.75" x14ac:dyDescent="0.3">
      <c r="A12" s="4">
        <f>IF(COUNTA(BG!F$2:F$8)&gt;=ROW(A12)-6,"xx",INDEX(BG!S$2:S$21,ROW(A6)-COUNTIF(A$6:A11,"xx")))</f>
        <v>0</v>
      </c>
      <c r="B12" s="4">
        <f>IF(COUNTA(BG!G$2:G$8)&gt;=ROW(B12)-6,"xx",INDEX(BG!T$2:T$21,ROW(B6)-COUNTIF(B$6:B11,"xx")))</f>
        <v>0</v>
      </c>
      <c r="C12" s="4">
        <f>IF(COUNTA(BG!H$2:H$8)&gt;=ROW(C12)-6,"xx",INDEX(BG!U$2:U$21,ROW(C6)-COUNTIF(C$6:C11,"xx")))</f>
        <v>0</v>
      </c>
      <c r="D12" s="4">
        <f>IF(COUNTA(BG!I$2:I$8)&gt;=ROW(D12)-6,"xx",INDEX(BG!V$2:V$21,ROW(D6)-COUNTIF(D$6:D11,"xx")))</f>
        <v>0</v>
      </c>
      <c r="E12" s="4">
        <f>IF(COUNTA(BG!J$2:J$8)&gt;=ROW(E12)-6,"xx",INDEX(BG!W$2:W$21,ROW(E6)-COUNTIF(E$6:E11,"xx")))</f>
        <v>0</v>
      </c>
      <c r="F12" s="4" t="str">
        <f>IF(COUNTA(BG!K$2:K$8)&gt;=ROW(F12)-6,"xx",INDEX(BG!X$2:X$21,ROW(F6)-COUNTIF(F$6:F11,"xx")))</f>
        <v>xx</v>
      </c>
      <c r="G12" s="4" t="str">
        <f>IF(COUNTA(BG!L$2:L$8)&gt;=ROW(G12)-6,"xx",INDEX(BG!Y$2:Y$21,ROW(G6)-COUNTIF(G$6:G11,"xx")))</f>
        <v>xx</v>
      </c>
    </row>
    <row r="13" spans="1:13" ht="15.75" x14ac:dyDescent="0.3">
      <c r="A13" s="4">
        <f>IF(COUNTA(BG!F$2:F$8)&gt;=ROW(A13)-6,"xx",INDEX(BG!S$2:S$21,ROW(A7)-COUNTIF(A$6:A12,"xx")))</f>
        <v>0</v>
      </c>
      <c r="B13" s="4">
        <f>IF(COUNTA(BG!G$2:G$8)&gt;=ROW(B13)-6,"xx",INDEX(BG!T$2:T$21,ROW(B7)-COUNTIF(B$6:B12,"xx")))</f>
        <v>0</v>
      </c>
      <c r="C13" s="4">
        <f>IF(COUNTA(BG!H$2:H$8)&gt;=ROW(C13)-6,"xx",INDEX(BG!U$2:U$21,ROW(C7)-COUNTIF(C$6:C12,"xx")))</f>
        <v>0</v>
      </c>
      <c r="D13" s="4">
        <f>IF(COUNTA(BG!I$2:I$8)&gt;=ROW(D13)-6,"xx",INDEX(BG!V$2:V$21,ROW(D7)-COUNTIF(D$6:D12,"xx")))</f>
        <v>0</v>
      </c>
      <c r="E13" s="4">
        <f>IF(COUNTA(BG!J$2:J$8)&gt;=ROW(E13)-6,"xx",INDEX(BG!W$2:W$21,ROW(E7)-COUNTIF(E$6:E12,"xx")))</f>
        <v>0</v>
      </c>
      <c r="F13" s="4">
        <f>IF(COUNTA(BG!K$2:K$8)&gt;=ROW(F13)-6,"xx",INDEX(BG!X$2:X$21,ROW(F7)-COUNTIF(F$6:F12,"xx")))</f>
        <v>0</v>
      </c>
      <c r="G13" s="4" t="str">
        <f>IF(COUNTA(BG!L$2:L$8)&gt;=ROW(G13)-6,"xx",INDEX(BG!Y$2:Y$21,ROW(G7)-COUNTIF(G$6:G12,"xx")))</f>
        <v>xx</v>
      </c>
    </row>
    <row r="14" spans="1:13" ht="15.75" x14ac:dyDescent="0.3">
      <c r="A14" s="4">
        <f>IF(COUNTA(BG!F$2:F$8)&gt;=ROW(A14)-6,"xx",INDEX(BG!S$2:S$21,ROW(A8)-COUNTIF(A$6:A13,"xx")))</f>
        <v>0</v>
      </c>
      <c r="B14" s="4">
        <f>IF(COUNTA(BG!G$2:G$8)&gt;=ROW(B14)-6,"xx",INDEX(BG!T$2:T$21,ROW(B8)-COUNTIF(B$6:B13,"xx")))</f>
        <v>0</v>
      </c>
      <c r="C14" s="4">
        <f>IF(COUNTA(BG!H$2:H$8)&gt;=ROW(C14)-6,"xx",INDEX(BG!U$2:U$21,ROW(C8)-COUNTIF(C$6:C13,"xx")))</f>
        <v>0</v>
      </c>
      <c r="D14" s="4">
        <f>IF(COUNTA(BG!I$2:I$8)&gt;=ROW(D14)-6,"xx",INDEX(BG!V$2:V$21,ROW(D8)-COUNTIF(D$6:D13,"xx")))</f>
        <v>0</v>
      </c>
      <c r="E14" s="4">
        <f>IF(COUNTA(BG!J$2:J$8)&gt;=ROW(E14)-6,"xx",INDEX(BG!W$2:W$21,ROW(E8)-COUNTIF(E$6:E13,"xx")))</f>
        <v>0</v>
      </c>
      <c r="F14" s="4">
        <f>IF(COUNTA(BG!K$2:K$8)&gt;=ROW(F14)-6,"xx",INDEX(BG!X$2:X$21,ROW(F8)-COUNTIF(F$6:F13,"xx")))</f>
        <v>0</v>
      </c>
      <c r="G14" s="4">
        <f>IF(COUNTA(BG!L$2:L$8)&gt;=ROW(G14)-6,"xx",INDEX(BG!Y$2:Y$21,ROW(G8)-COUNTIF(G$6:G13,"xx")))</f>
        <v>0</v>
      </c>
    </row>
    <row r="15" spans="1:13" ht="14.25" customHeight="1" x14ac:dyDescent="0.3">
      <c r="A15" s="4">
        <f>IF(COUNTA(BG!F$2:F$8)&gt;=ROW(A15)-6,"xx",INDEX(BG!S$2:S$21,ROW(A9)-COUNTIF(A$6:A14,"xx")))</f>
        <v>0</v>
      </c>
      <c r="B15" s="4">
        <f>IF(COUNTA(BG!G$2:G$8)&gt;=ROW(B15)-6,"xx",INDEX(BG!T$2:T$21,ROW(B9)-COUNTIF(B$6:B14,"xx")))</f>
        <v>0</v>
      </c>
      <c r="C15" s="4">
        <f>IF(COUNTA(BG!H$2:H$8)&gt;=ROW(C15)-6,"xx",INDEX(BG!U$2:U$21,ROW(C9)-COUNTIF(C$6:C14,"xx")))</f>
        <v>0</v>
      </c>
      <c r="D15" s="4">
        <f>IF(COUNTA(BG!I$2:I$8)&gt;=ROW(D15)-6,"xx",INDEX(BG!V$2:V$21,ROW(D9)-COUNTIF(D$6:D14,"xx")))</f>
        <v>0</v>
      </c>
      <c r="E15" s="4">
        <f>IF(COUNTA(BG!J$2:J$8)&gt;=ROW(E15)-6,"xx",INDEX(BG!W$2:W$21,ROW(E9)-COUNTIF(E$6:E14,"xx")))</f>
        <v>0</v>
      </c>
      <c r="F15" s="4">
        <f>IF(COUNTA(BG!K$2:K$8)&gt;=ROW(F15)-6,"xx",INDEX(BG!X$2:X$21,ROW(F9)-COUNTIF(F$6:F14,"xx")))</f>
        <v>0</v>
      </c>
      <c r="G15" s="4">
        <f>IF(COUNTA(BG!L$2:L$8)&gt;=ROW(G15)-6,"xx",INDEX(BG!Y$2:Y$21,ROW(G9)-COUNTIF(G$6:G14,"xx")))</f>
        <v>0</v>
      </c>
    </row>
    <row r="16" spans="1:13" ht="15.75" x14ac:dyDescent="0.3">
      <c r="A16" s="4">
        <f>IF(COUNTA(BG!F$2:F$8)&gt;=ROW(A16)-6,"xx",INDEX(BG!S$2:S$21,ROW(A10)-COUNTIF(A$6:A15,"xx")))</f>
        <v>0</v>
      </c>
      <c r="B16" s="4">
        <f>IF(COUNTA(BG!G$2:G$8)&gt;=ROW(B16)-6,"xx",INDEX(BG!T$2:T$21,ROW(B10)-COUNTIF(B$6:B15,"xx")))</f>
        <v>0</v>
      </c>
      <c r="C16" s="4">
        <f>IF(COUNTA(BG!H$2:H$8)&gt;=ROW(C16)-6,"xx",INDEX(BG!U$2:U$21,ROW(C10)-COUNTIF(C$6:C15,"xx")))</f>
        <v>0</v>
      </c>
      <c r="D16" s="4">
        <f>IF(COUNTA(BG!I$2:I$8)&gt;=ROW(D16)-6,"xx",INDEX(BG!V$2:V$21,ROW(D10)-COUNTIF(D$6:D15,"xx")))</f>
        <v>0</v>
      </c>
      <c r="E16" s="4">
        <f>IF(COUNTA(BG!J$2:J$8)&gt;=ROW(E16)-6,"xx",INDEX(BG!W$2:W$21,ROW(E10)-COUNTIF(E$6:E15,"xx")))</f>
        <v>0</v>
      </c>
      <c r="F16" s="4">
        <f>IF(COUNTA(BG!K$2:K$8)&gt;=ROW(F16)-6,"xx",INDEX(BG!X$2:X$21,ROW(F10)-COUNTIF(F$6:F15,"xx")))</f>
        <v>0</v>
      </c>
      <c r="G16" s="4">
        <f>IF(COUNTA(BG!L$2:L$8)&gt;=ROW(G16)-6,"xx",INDEX(BG!Y$2:Y$21,ROW(G10)-COUNTIF(G$6:G15,"xx")))</f>
        <v>0</v>
      </c>
    </row>
    <row r="17" spans="1:7" ht="15.75" x14ac:dyDescent="0.3">
      <c r="A17" s="4">
        <f>IF(COUNTA(BG!F$2:F$8)&gt;=ROW(A17)-6,"xx",INDEX(BG!S$2:S$21,ROW(A11)-COUNTIF(A$6:A16,"xx")))</f>
        <v>0</v>
      </c>
      <c r="B17" s="4">
        <f>IF(COUNTA(BG!G$2:G$8)&gt;=ROW(B17)-6,"xx",INDEX(BG!T$2:T$21,ROW(B11)-COUNTIF(B$6:B16,"xx")))</f>
        <v>0</v>
      </c>
      <c r="C17" s="4">
        <f>IF(COUNTA(BG!H$2:H$8)&gt;=ROW(C17)-6,"xx",INDEX(BG!U$2:U$21,ROW(C11)-COUNTIF(C$6:C16,"xx")))</f>
        <v>0</v>
      </c>
      <c r="D17" s="4">
        <f>IF(COUNTA(BG!I$2:I$8)&gt;=ROW(D17)-6,"xx",INDEX(BG!V$2:V$21,ROW(D11)-COUNTIF(D$6:D16,"xx")))</f>
        <v>0</v>
      </c>
      <c r="E17" s="4">
        <f>IF(COUNTA(BG!J$2:J$8)&gt;=ROW(E17)-6,"xx",INDEX(BG!W$2:W$21,ROW(E11)-COUNTIF(E$6:E16,"xx")))</f>
        <v>0</v>
      </c>
      <c r="F17" s="4">
        <f>IF(COUNTA(BG!K$2:K$8)&gt;=ROW(F17)-6,"xx",INDEX(BG!X$2:X$21,ROW(F11)-COUNTIF(F$6:F16,"xx")))</f>
        <v>0</v>
      </c>
      <c r="G17" s="4">
        <f>IF(COUNTA(BG!L$2:L$8)&gt;=ROW(G17)-6,"xx",INDEX(BG!Y$2:Y$21,ROW(G11)-COUNTIF(G$6:G16,"xx")))</f>
        <v>0</v>
      </c>
    </row>
    <row r="18" spans="1:7" ht="15.75" x14ac:dyDescent="0.3">
      <c r="A18" s="4">
        <f>IF(COUNTA(BG!F$2:F$8)&gt;=ROW(A18)-6,"xx",INDEX(BG!S$2:S$21,ROW(A12)-COUNTIF(A$6:A17,"xx")))</f>
        <v>0</v>
      </c>
      <c r="B18" s="4">
        <f>IF(COUNTA(BG!G$2:G$8)&gt;=ROW(B18)-6,"xx",INDEX(BG!T$2:T$21,ROW(B12)-COUNTIF(B$6:B17,"xx")))</f>
        <v>0</v>
      </c>
      <c r="C18" s="4">
        <f>IF(COUNTA(BG!H$2:H$8)&gt;=ROW(C18)-6,"xx",INDEX(BG!U$2:U$21,ROW(C12)-COUNTIF(C$6:C17,"xx")))</f>
        <v>0</v>
      </c>
      <c r="D18" s="4">
        <f>IF(COUNTA(BG!I$2:I$8)&gt;=ROW(D18)-6,"xx",INDEX(BG!V$2:V$21,ROW(D12)-COUNTIF(D$6:D17,"xx")))</f>
        <v>0</v>
      </c>
      <c r="E18" s="4">
        <f>IF(COUNTA(BG!J$2:J$8)&gt;=ROW(E18)-6,"xx",INDEX(BG!W$2:W$21,ROW(E12)-COUNTIF(E$6:E17,"xx")))</f>
        <v>0</v>
      </c>
      <c r="F18" s="4">
        <f>IF(COUNTA(BG!K$2:K$8)&gt;=ROW(F18)-6,"xx",INDEX(BG!X$2:X$21,ROW(F12)-COUNTIF(F$6:F17,"xx")))</f>
        <v>0</v>
      </c>
      <c r="G18" s="4">
        <f>IF(COUNTA(BG!L$2:L$8)&gt;=ROW(G18)-6,"xx",INDEX(BG!Y$2:Y$21,ROW(G12)-COUNTIF(G$6:G17,"xx")))</f>
        <v>0</v>
      </c>
    </row>
    <row r="19" spans="1:7" ht="15.75" x14ac:dyDescent="0.3">
      <c r="A19" s="4">
        <f>IF(COUNTA(BG!F$2:F$8)&gt;=ROW(A19)-6,"xx",INDEX(BG!S$2:S$21,ROW(A13)-COUNTIF(A$6:A18,"xx")))</f>
        <v>0</v>
      </c>
      <c r="B19" s="4">
        <f>IF(COUNTA(BG!G$2:G$8)&gt;=ROW(B19)-6,"xx",INDEX(BG!T$2:T$21,ROW(B13)-COUNTIF(B$6:B18,"xx")))</f>
        <v>0</v>
      </c>
      <c r="C19" s="4">
        <f>IF(COUNTA(BG!H$2:H$8)&gt;=ROW(C19)-6,"xx",INDEX(BG!U$2:U$21,ROW(C13)-COUNTIF(C$6:C18,"xx")))</f>
        <v>0</v>
      </c>
      <c r="D19" s="4">
        <f>IF(COUNTA(BG!I$2:I$8)&gt;=ROW(D19)-6,"xx",INDEX(BG!V$2:V$21,ROW(D13)-COUNTIF(D$6:D18,"xx")))</f>
        <v>0</v>
      </c>
      <c r="E19" s="4">
        <f>IF(COUNTA(BG!J$2:J$8)&gt;=ROW(E19)-6,"xx",INDEX(BG!W$2:W$21,ROW(E13)-COUNTIF(E$6:E18,"xx")))</f>
        <v>0</v>
      </c>
      <c r="F19" s="4">
        <f>IF(COUNTA(BG!K$2:K$8)&gt;=ROW(F19)-6,"xx",INDEX(BG!X$2:X$21,ROW(F13)-COUNTIF(F$6:F18,"xx")))</f>
        <v>0</v>
      </c>
      <c r="G19" s="4">
        <f>IF(COUNTA(BG!L$2:L$8)&gt;=ROW(G19)-6,"xx",INDEX(BG!Y$2:Y$21,ROW(G13)-COUNTIF(G$6:G18,"xx")))</f>
        <v>0</v>
      </c>
    </row>
    <row r="20" spans="1:7" ht="15.75" x14ac:dyDescent="0.3">
      <c r="A20" s="4">
        <f>IF(COUNTA(BG!F$2:F$8)&gt;=ROW(A20)-6,"xx",INDEX(BG!S$2:S$21,ROW(A14)-COUNTIF(A$6:A19,"xx")))</f>
        <v>0</v>
      </c>
      <c r="B20" s="4">
        <f>IF(COUNTA(BG!G$2:G$8)&gt;=ROW(B20)-6,"xx",INDEX(BG!T$2:T$21,ROW(B14)-COUNTIF(B$6:B19,"xx")))</f>
        <v>0</v>
      </c>
      <c r="C20" s="4">
        <f>IF(COUNTA(BG!H$2:H$8)&gt;=ROW(C20)-6,"xx",INDEX(BG!U$2:U$21,ROW(C14)-COUNTIF(C$6:C19,"xx")))</f>
        <v>0</v>
      </c>
      <c r="D20" s="4">
        <f>IF(COUNTA(BG!I$2:I$8)&gt;=ROW(D20)-6,"xx",INDEX(BG!V$2:V$21,ROW(D14)-COUNTIF(D$6:D19,"xx")))</f>
        <v>0</v>
      </c>
      <c r="E20" s="4">
        <f>IF(COUNTA(BG!J$2:J$8)&gt;=ROW(E20)-6,"xx",INDEX(BG!W$2:W$21,ROW(E14)-COUNTIF(E$6:E19,"xx")))</f>
        <v>0</v>
      </c>
      <c r="F20" s="4">
        <f>IF(COUNTA(BG!K$2:K$8)&gt;=ROW(F20)-6,"xx",INDEX(BG!X$2:X$21,ROW(F14)-COUNTIF(F$6:F19,"xx")))</f>
        <v>0</v>
      </c>
      <c r="G20" s="4">
        <f>IF(COUNTA(BG!L$2:L$8)&gt;=ROW(G20)-6,"xx",INDEX(BG!Y$2:Y$21,ROW(G14)-COUNTIF(G$6:G19,"xx")))</f>
        <v>0</v>
      </c>
    </row>
    <row r="21" spans="1:7" ht="15.75" x14ac:dyDescent="0.3">
      <c r="A21" s="4">
        <f>IF(COUNTA(BG!F$2:F$8)&gt;=ROW(A21)-6,"xx",INDEX(BG!S$2:S$21,ROW(A15)-COUNTIF(A$6:A20,"xx")))</f>
        <v>0</v>
      </c>
      <c r="B21" s="4">
        <f>IF(COUNTA(BG!G$2:G$8)&gt;=ROW(B21)-6,"xx",INDEX(BG!T$2:T$21,ROW(B15)-COUNTIF(B$6:B20,"xx")))</f>
        <v>0</v>
      </c>
      <c r="C21" s="4">
        <f>IF(COUNTA(BG!H$2:H$8)&gt;=ROW(C21)-6,"xx",INDEX(BG!U$2:U$21,ROW(C15)-COUNTIF(C$6:C20,"xx")))</f>
        <v>0</v>
      </c>
      <c r="D21" s="4">
        <f>IF(COUNTA(BG!I$2:I$8)&gt;=ROW(D21)-6,"xx",INDEX(BG!V$2:V$21,ROW(D15)-COUNTIF(D$6:D20,"xx")))</f>
        <v>0</v>
      </c>
      <c r="E21" s="4">
        <f>IF(COUNTA(BG!J$2:J$8)&gt;=ROW(E21)-6,"xx",INDEX(BG!W$2:W$21,ROW(E15)-COUNTIF(E$6:E20,"xx")))</f>
        <v>0</v>
      </c>
      <c r="F21" s="4">
        <f>IF(COUNTA(BG!K$2:K$8)&gt;=ROW(F21)-6,"xx",INDEX(BG!X$2:X$21,ROW(F15)-COUNTIF(F$6:F20,"xx")))</f>
        <v>0</v>
      </c>
      <c r="G21" s="4">
        <f>IF(COUNTA(BG!L$2:L$8)&gt;=ROW(G21)-6,"xx",INDEX(BG!Y$2:Y$21,ROW(G15)-COUNTIF(G$6:G20,"xx")))</f>
        <v>0</v>
      </c>
    </row>
    <row r="22" spans="1:7" ht="15.75" x14ac:dyDescent="0.3">
      <c r="A22" s="4">
        <f>IF(COUNTA(BG!F$2:F$8)&gt;=ROW(A22)-6,"xx",INDEX(BG!S$2:S$21,ROW(A16)-COUNTIF(A$6:A21,"xx")))</f>
        <v>0</v>
      </c>
      <c r="B22" s="4">
        <f>IF(COUNTA(BG!G$2:G$8)&gt;=ROW(B22)-6,"xx",INDEX(BG!T$2:T$21,ROW(B16)-COUNTIF(B$6:B21,"xx")))</f>
        <v>0</v>
      </c>
      <c r="C22" s="4">
        <f>IF(COUNTA(BG!H$2:H$8)&gt;=ROW(C22)-6,"xx",INDEX(BG!U$2:U$21,ROW(C16)-COUNTIF(C$6:C21,"xx")))</f>
        <v>0</v>
      </c>
      <c r="D22" s="4">
        <f>IF(COUNTA(BG!I$2:I$8)&gt;=ROW(D22)-6,"xx",INDEX(BG!V$2:V$21,ROW(D16)-COUNTIF(D$6:D21,"xx")))</f>
        <v>0</v>
      </c>
      <c r="E22" s="4">
        <f>IF(COUNTA(BG!J$2:J$8)&gt;=ROW(E22)-6,"xx",INDEX(BG!W$2:W$21,ROW(E16)-COUNTIF(E$6:E21,"xx")))</f>
        <v>0</v>
      </c>
      <c r="F22" s="4">
        <f>IF(COUNTA(BG!K$2:K$8)&gt;=ROW(F22)-6,"xx",INDEX(BG!X$2:X$21,ROW(F16)-COUNTIF(F$6:F21,"xx")))</f>
        <v>0</v>
      </c>
      <c r="G22" s="4">
        <f>IF(COUNTA(BG!L$2:L$8)&gt;=ROW(G22)-6,"xx",INDEX(BG!Y$2:Y$21,ROW(G16)-COUNTIF(G$6:G21,"xx")))</f>
        <v>0</v>
      </c>
    </row>
    <row r="23" spans="1:7" ht="15.75" x14ac:dyDescent="0.3">
      <c r="A23" s="4">
        <f>IF(COUNTA(BG!F$2:F$8)&gt;=ROW(A23)-6,"xx",INDEX(BG!S$2:S$21,ROW(A17)-COUNTIF(A$6:A22,"xx")))</f>
        <v>0</v>
      </c>
      <c r="B23" s="4">
        <f>IF(COUNTA(BG!G$2:G$8)&gt;=ROW(B23)-6,"xx",INDEX(BG!T$2:T$21,ROW(B17)-COUNTIF(B$6:B22,"xx")))</f>
        <v>0</v>
      </c>
      <c r="C23" s="4">
        <f>IF(COUNTA(BG!H$2:H$8)&gt;=ROW(C23)-6,"xx",INDEX(BG!U$2:U$21,ROW(C17)-COUNTIF(C$6:C22,"xx")))</f>
        <v>0</v>
      </c>
      <c r="D23" s="4">
        <f>IF(COUNTA(BG!I$2:I$8)&gt;=ROW(D23)-6,"xx",INDEX(BG!V$2:V$21,ROW(D17)-COUNTIF(D$6:D22,"xx")))</f>
        <v>0</v>
      </c>
      <c r="E23" s="4">
        <f>IF(COUNTA(BG!J$2:J$8)&gt;=ROW(E23)-6,"xx",INDEX(BG!W$2:W$21,ROW(E17)-COUNTIF(E$6:E22,"xx")))</f>
        <v>0</v>
      </c>
      <c r="F23" s="4">
        <f>IF(COUNTA(BG!K$2:K$8)&gt;=ROW(F23)-6,"xx",INDEX(BG!X$2:X$21,ROW(F17)-COUNTIF(F$6:F22,"xx")))</f>
        <v>0</v>
      </c>
      <c r="G23" s="4">
        <f>IF(COUNTA(BG!L$2:L$8)&gt;=ROW(G23)-6,"xx",INDEX(BG!Y$2:Y$21,ROW(G17)-COUNTIF(G$6:G22,"xx")))</f>
        <v>0</v>
      </c>
    </row>
    <row r="24" spans="1:7" ht="15.75" x14ac:dyDescent="0.3">
      <c r="A24" s="4">
        <f>IF(COUNTA(BG!F$2:F$8)&gt;=ROW(A24)-6,"xx",INDEX(BG!S$2:S$21,ROW(A18)-COUNTIF(A$6:A23,"xx")))</f>
        <v>0</v>
      </c>
      <c r="B24" s="4">
        <f>IF(COUNTA(BG!G$2:G$8)&gt;=ROW(B24)-6,"xx",INDEX(BG!T$2:T$21,ROW(B18)-COUNTIF(B$6:B23,"xx")))</f>
        <v>0</v>
      </c>
      <c r="C24" s="4">
        <f>IF(COUNTA(BG!H$2:H$8)&gt;=ROW(C24)-6,"xx",INDEX(BG!U$2:U$21,ROW(C18)-COUNTIF(C$6:C23,"xx")))</f>
        <v>0</v>
      </c>
      <c r="D24" s="4">
        <f>IF(COUNTA(BG!I$2:I$8)&gt;=ROW(D24)-6,"xx",INDEX(BG!V$2:V$21,ROW(D18)-COUNTIF(D$6:D23,"xx")))</f>
        <v>0</v>
      </c>
      <c r="E24" s="4">
        <f>IF(COUNTA(BG!J$2:J$8)&gt;=ROW(E24)-6,"xx",INDEX(BG!W$2:W$21,ROW(E18)-COUNTIF(E$6:E23,"xx")))</f>
        <v>0</v>
      </c>
      <c r="F24" s="4">
        <f>IF(COUNTA(BG!K$2:K$8)&gt;=ROW(F24)-6,"xx",INDEX(BG!X$2:X$21,ROW(F18)-COUNTIF(F$6:F23,"xx")))</f>
        <v>0</v>
      </c>
      <c r="G24" s="4">
        <f>IF(COUNTA(BG!L$2:L$8)&gt;=ROW(G24)-6,"xx",INDEX(BG!Y$2:Y$21,ROW(G18)-COUNTIF(G$6:G23,"xx")))</f>
        <v>0</v>
      </c>
    </row>
    <row r="25" spans="1:7" ht="15.75" x14ac:dyDescent="0.3">
      <c r="A25" s="4">
        <f>IF(COUNTA(BG!F$2:F$8)&gt;=ROW(A25)-6,"xx",INDEX(BG!S$2:S$21,ROW(A19)-COUNTIF(A$6:A24,"xx")))</f>
        <v>0</v>
      </c>
      <c r="B25" s="4">
        <f>IF(COUNTA(BG!G$2:G$8)&gt;=ROW(B25)-6,"xx",INDEX(BG!T$2:T$21,ROW(B19)-COUNTIF(B$6:B24,"xx")))</f>
        <v>0</v>
      </c>
      <c r="C25" s="4">
        <f>IF(COUNTA(BG!H$2:H$8)&gt;=ROW(C25)-6,"xx",INDEX(BG!U$2:U$21,ROW(C19)-COUNTIF(C$6:C24,"xx")))</f>
        <v>0</v>
      </c>
      <c r="D25" s="4">
        <f>IF(COUNTA(BG!I$2:I$8)&gt;=ROW(D25)-6,"xx",INDEX(BG!V$2:V$21,ROW(D19)-COUNTIF(D$6:D24,"xx")))</f>
        <v>0</v>
      </c>
      <c r="E25" s="4">
        <f>IF(COUNTA(BG!J$2:J$8)&gt;=ROW(E25)-6,"xx",INDEX(BG!W$2:W$21,ROW(E19)-COUNTIF(E$6:E24,"xx")))</f>
        <v>0</v>
      </c>
      <c r="F25" s="4">
        <f>IF(COUNTA(BG!K$2:K$8)&gt;=ROW(F25)-6,"xx",INDEX(BG!X$2:X$21,ROW(F19)-COUNTIF(F$6:F24,"xx")))</f>
        <v>0</v>
      </c>
      <c r="G25" s="4">
        <f>IF(COUNTA(BG!L$2:L$8)&gt;=ROW(G25)-6,"xx",INDEX(BG!Y$2:Y$21,ROW(G19)-COUNTIF(G$6:G24,"xx")))</f>
        <v>0</v>
      </c>
    </row>
    <row r="26" spans="1:7" ht="15.75" x14ac:dyDescent="0.3">
      <c r="A26" s="4">
        <f>IF(COUNTA(BG!F$2:F$8)&gt;=ROW(A26)-6,"xx",INDEX(BG!S$2:S$21,ROW(A20)-COUNTIF(A$6:A25,"xx")))</f>
        <v>0</v>
      </c>
      <c r="B26" s="4">
        <f>IF(COUNTA(BG!G$2:G$8)&gt;=ROW(B26)-6,"xx",INDEX(BG!T$2:T$21,ROW(B20)-COUNTIF(B$6:B25,"xx")))</f>
        <v>0</v>
      </c>
      <c r="C26" s="4">
        <f>IF(COUNTA(BG!H$2:H$8)&gt;=ROW(C26)-6,"xx",INDEX(BG!U$2:U$21,ROW(C20)-COUNTIF(C$6:C25,"xx")))</f>
        <v>0</v>
      </c>
      <c r="D26" s="4">
        <f>IF(COUNTA(BG!I$2:I$8)&gt;=ROW(D26)-6,"xx",INDEX(BG!V$2:V$21,ROW(D20)-COUNTIF(D$6:D25,"xx")))</f>
        <v>0</v>
      </c>
      <c r="E26" s="4">
        <f>IF(COUNTA(BG!J$2:J$8)&gt;=ROW(E26)-6,"xx",INDEX(BG!W$2:W$21,ROW(E20)-COUNTIF(E$6:E25,"xx")))</f>
        <v>0</v>
      </c>
      <c r="F26" s="4">
        <f>IF(COUNTA(BG!K$2:K$8)&gt;=ROW(F26)-6,"xx",INDEX(BG!X$2:X$21,ROW(F20)-COUNTIF(F$6:F25,"xx")))</f>
        <v>0</v>
      </c>
      <c r="G26" s="4">
        <f>IF(COUNTA(BG!L$2:L$8)&gt;=ROW(G26)-6,"xx",INDEX(BG!Y$2:Y$21,ROW(G20)-COUNTIF(G$6:G25,"xx")))</f>
        <v>0</v>
      </c>
    </row>
  </sheetData>
  <conditionalFormatting sqref="A1:G1 A3:G26 A2 C2:G2">
    <cfRule type="expression" dxfId="15" priority="3">
      <formula>A1=0</formula>
    </cfRule>
  </conditionalFormatting>
  <conditionalFormatting sqref="B2">
    <cfRule type="expression" dxfId="14" priority="1">
      <formula>B2=0</formula>
    </cfRule>
    <cfRule type="expression" dxfId="13" priority="2">
      <formula>OR(RIGHT(B2,1)="¨",RIGHT(B2,1)="©")</formula>
    </cfRule>
  </conditionalFormatting>
  <conditionalFormatting sqref="A1:G26">
    <cfRule type="expression" dxfId="12" priority="4">
      <formula>OR(RIGHT(A1,1)="♦",RIGHT(A1,1)="♥")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10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Nextc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0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tofoundation">
                <anchor moveWithCells="1" sizeWithCells="1">
                  <from>
                    <xdr:col>2</xdr:col>
                    <xdr:colOff>600075</xdr:colOff>
                    <xdr:row>0</xdr:row>
                    <xdr:rowOff>180975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flip1">
                <anchor moveWithCells="1" siz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0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flip2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flip3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2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flip4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1" name="Button 13">
              <controlPr defaultSize="0" print="0" autoFill="0" autoPict="0" macro="[0]!flip5">
                <anchor moveWithCells="1" sizeWithCells="1">
                  <from>
                    <xdr:col>4</xdr:col>
                    <xdr:colOff>9525</xdr:colOff>
                    <xdr:row>5</xdr:row>
                    <xdr:rowOff>9525</xdr:rowOff>
                  </from>
                  <to>
                    <xdr:col>4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2" name="Button 14">
              <controlPr defaultSize="0" print="0" autoFill="0" autoPict="0" macro="[0]!flip6">
                <anchor moveWithCells="1" sizeWithCells="1">
                  <from>
                    <xdr:col>5</xdr:col>
                    <xdr:colOff>9525</xdr:colOff>
                    <xdr:row>5</xdr:row>
                    <xdr:rowOff>9525</xdr:rowOff>
                  </from>
                  <to>
                    <xdr:col>5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3" name="Button 15">
              <controlPr defaultSize="0" print="0" autoFill="0" autoPict="0" macro="[0]!flip7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6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tabl1">
                <anchor moveWithCells="1" sizeWithCells="1"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0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5" name="Button 19">
              <controlPr defaultSize="0" print="0" autoFill="0" autoPict="0" macro="[0]!tabl2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6" name="Button 20">
              <controlPr defaultSize="0" print="0" autoFill="0" autoPict="0" macro="[0]!tabl3">
                <anchor moveWithCells="1" siz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2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7" name="Button 21">
              <controlPr defaultSize="0" print="0" autoFill="0" autoPict="0" macro="[0]!tabl4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3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8" name="Button 22">
              <controlPr defaultSize="0" print="0" autoFill="0" autoPict="0" macro="[0]!tabl5">
                <anchor moveWithCells="1" sizeWithCells="1">
                  <from>
                    <xdr:col>4</xdr:col>
                    <xdr:colOff>9525</xdr:colOff>
                    <xdr:row>4</xdr:row>
                    <xdr:rowOff>9525</xdr:rowOff>
                  </from>
                  <to>
                    <xdr:col>4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9" name="Button 23">
              <controlPr defaultSize="0" print="0" autoFill="0" autoPict="0" macro="[0]!tabl6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5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0" name="Button 24">
              <controlPr defaultSize="0" print="0" autoFill="0" autoPict="0" macro="[0]!tabl7">
                <anchor moveWithCells="1" sizeWithCells="1">
                  <from>
                    <xdr:col>6</xdr:col>
                    <xdr:colOff>9525</xdr:colOff>
                    <xdr:row>4</xdr:row>
                    <xdr:rowOff>9525</xdr:rowOff>
                  </from>
                  <to>
                    <xdr:col>6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1" name="Button 25">
              <controlPr defaultSize="0" print="0" autoFill="0" autoPict="0" macro="[0]!goodbye">
                <anchor moveWithCells="1" sizeWithCells="1">
                  <from>
                    <xdr:col>9</xdr:col>
                    <xdr:colOff>9525</xdr:colOff>
                    <xdr:row>3</xdr:row>
                    <xdr:rowOff>0</xdr:rowOff>
                  </from>
                  <to>
                    <xdr:col>9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M26"/>
  <sheetViews>
    <sheetView workbookViewId="0">
      <selection activeCell="J9" sqref="J9"/>
    </sheetView>
  </sheetViews>
  <sheetFormatPr defaultRowHeight="15" x14ac:dyDescent="0.25"/>
  <cols>
    <col min="3" max="3" width="9.140625" customWidth="1"/>
  </cols>
  <sheetData>
    <row r="1" spans="1:13" ht="15.75" x14ac:dyDescent="0.3">
      <c r="A1" s="4" t="str">
        <f>INDEX(BG!M2:M26,MATCH("x",BG!N2:N26,0))</f>
        <v>o</v>
      </c>
      <c r="B1" s="5" t="str">
        <f>IFERROR(IF(A1&lt;&gt;"o",INDEX(BG!M2:M26,MATCH("x",BG!N2:N26,0)-1),""),"")</f>
        <v/>
      </c>
      <c r="C1" s="5" t="str">
        <f>IFERROR(IF(A1&lt;&gt;"o",INDEX(BG!M2:M26,MATCH("x",BG!N2:N26,0)-2),""),"")</f>
        <v/>
      </c>
      <c r="D1" s="4" t="str">
        <f>IFERROR(INDEX(BG!O$2:O$14,COUNTA(BG!O$2:O$14)),"♧")</f>
        <v>♧</v>
      </c>
      <c r="E1" s="4" t="str">
        <f>IFERROR(INDEX(BG!P$2:P$14,COUNTA(BG!P$2:P$14)),"♢")</f>
        <v>♢</v>
      </c>
      <c r="F1" s="4" t="str">
        <f>IFERROR(INDEX(BG!Q$2:Q$14,COUNTA(BG!Q$2:Q$14)),"♡")</f>
        <v>♡</v>
      </c>
      <c r="G1" s="4" t="str">
        <f>IFERROR(INDEX(BG!R$2:R$14,COUNTA(BG!R$2:R$14)),"♤")</f>
        <v>♤</v>
      </c>
      <c r="I1" t="s">
        <v>8</v>
      </c>
      <c r="L1" t="s">
        <v>10</v>
      </c>
    </row>
    <row r="2" spans="1:13" ht="15.75" x14ac:dyDescent="0.3">
      <c r="A2" s="4"/>
      <c r="B2" s="4" t="str">
        <f>IF(INDEX(BG!M1:M27,MATCH("x",BG!N1:N26,0)+1)="o","End of Deck","")</f>
        <v/>
      </c>
      <c r="C2" s="4"/>
      <c r="D2" s="4"/>
      <c r="E2" s="4"/>
      <c r="F2" s="4"/>
      <c r="G2" s="4"/>
      <c r="I2">
        <f>BG!Z2</f>
        <v>0</v>
      </c>
      <c r="L2">
        <v>770</v>
      </c>
      <c r="M2" t="s">
        <v>90</v>
      </c>
    </row>
    <row r="3" spans="1:13" ht="15.75" x14ac:dyDescent="0.3">
      <c r="A3" s="4"/>
      <c r="B3" s="4"/>
      <c r="C3" s="4"/>
      <c r="D3" s="4"/>
      <c r="E3" s="4"/>
      <c r="F3" s="4"/>
      <c r="G3" s="4"/>
      <c r="L3">
        <v>740</v>
      </c>
      <c r="M3" t="s">
        <v>11</v>
      </c>
    </row>
    <row r="4" spans="1:13" ht="15.75" x14ac:dyDescent="0.3">
      <c r="A4" s="4"/>
      <c r="B4" s="4"/>
      <c r="C4" s="4"/>
      <c r="D4" s="4"/>
      <c r="E4" s="4"/>
      <c r="F4" s="4"/>
      <c r="G4" s="4"/>
      <c r="L4">
        <v>730</v>
      </c>
      <c r="M4" t="s">
        <v>99</v>
      </c>
    </row>
    <row r="5" spans="1:13" ht="15.75" x14ac:dyDescent="0.3">
      <c r="A5" s="4"/>
      <c r="B5" s="4"/>
      <c r="C5" s="4"/>
      <c r="D5" s="4"/>
      <c r="E5" s="4"/>
      <c r="F5" s="4"/>
      <c r="G5" s="4"/>
      <c r="L5">
        <v>730</v>
      </c>
      <c r="M5" t="s">
        <v>93</v>
      </c>
    </row>
    <row r="6" spans="1:13" ht="15.75" x14ac:dyDescent="0.3">
      <c r="A6" s="4"/>
      <c r="B6" s="4"/>
      <c r="C6" s="4"/>
      <c r="D6" s="4"/>
      <c r="E6" s="4"/>
      <c r="F6" s="4"/>
      <c r="G6" s="4"/>
      <c r="L6">
        <v>720</v>
      </c>
      <c r="M6" t="s">
        <v>100</v>
      </c>
    </row>
    <row r="7" spans="1:13" ht="15.75" x14ac:dyDescent="0.3">
      <c r="A7" s="4" t="str">
        <f>IF(COUNTA(BG!F$2:F$8)&gt;=ROW(A7)-6,"xx",INDEX(BG!S$2:S$21,ROW(A1)-COUNTIF(A$6:A6,"xx")))</f>
        <v>xx</v>
      </c>
      <c r="B7" s="4" t="str">
        <f>IF(COUNTA(BG!G$2:G$8)&gt;=ROW(B7)-6,"xx",INDEX(BG!T$2:T$21,ROW(B1)-COUNTIF(B$6:B6,"xx")))</f>
        <v>xx</v>
      </c>
      <c r="C7" s="4" t="str">
        <f>IF(COUNTA(BG!H$2:H$8)&gt;=ROW(C7)-6,"xx",INDEX(BG!U$2:U$21,ROW(C1)-COUNTIF(C$6:C6,"xx")))</f>
        <v>xx</v>
      </c>
      <c r="D7" s="4" t="str">
        <f>IF(COUNTA(BG!I$2:I$8)&gt;=ROW(D7)-6,"xx",INDEX(BG!V$2:V$21,ROW(D1)-COUNTIF(D$6:D6,"xx")))</f>
        <v>xx</v>
      </c>
      <c r="E7" s="4" t="str">
        <f>IF(COUNTA(BG!J$2:J$8)&gt;=ROW(E7)-6,"xx",INDEX(BG!W$2:W$21,ROW(E1)-COUNTIF(E$6:E6,"xx")))</f>
        <v>xx</v>
      </c>
      <c r="F7" s="4" t="str">
        <f>IF(COUNTA(BG!K$2:K$8)&gt;=ROW(F7)-6,"xx",INDEX(BG!X$2:X$21,ROW(F1)-COUNTIF(F$6:F6,"xx")))</f>
        <v>xx</v>
      </c>
      <c r="G7" s="4" t="str">
        <f>IF(COUNTA(BG!L$2:L$8)&gt;=ROW(G7)-6,"xx",INDEX(BG!Y$2:Y$21,ROW(G1)-COUNTIF(G$6:G6,"xx")))</f>
        <v>xx</v>
      </c>
      <c r="L7">
        <v>710</v>
      </c>
      <c r="M7" t="s">
        <v>172</v>
      </c>
    </row>
    <row r="8" spans="1:13" ht="15.75" x14ac:dyDescent="0.3">
      <c r="A8" s="4">
        <f>IF(COUNTA(BG!F$2:F$8)&gt;=ROW(A8)-6,"xx",INDEX(BG!S$2:S$21,ROW(A2)-COUNTIF(A$6:A7,"xx")))</f>
        <v>0</v>
      </c>
      <c r="B8" s="4" t="str">
        <f>IF(COUNTA(BG!G$2:G$8)&gt;=ROW(B8)-6,"xx",INDEX(BG!T$2:T$21,ROW(B2)-COUNTIF(B$6:B7,"xx")))</f>
        <v>xx</v>
      </c>
      <c r="C8" s="4" t="str">
        <f>IF(COUNTA(BG!H$2:H$8)&gt;=ROW(C8)-6,"xx",INDEX(BG!U$2:U$21,ROW(C2)-COUNTIF(C$6:C7,"xx")))</f>
        <v>xx</v>
      </c>
      <c r="D8" s="4" t="str">
        <f>IF(COUNTA(BG!I$2:I$8)&gt;=ROW(D8)-6,"xx",INDEX(BG!V$2:V$21,ROW(D2)-COUNTIF(D$6:D7,"xx")))</f>
        <v>xx</v>
      </c>
      <c r="E8" s="4" t="str">
        <f>IF(COUNTA(BG!J$2:J$8)&gt;=ROW(E8)-6,"xx",INDEX(BG!W$2:W$21,ROW(E2)-COUNTIF(E$6:E7,"xx")))</f>
        <v>xx</v>
      </c>
      <c r="F8" s="4" t="str">
        <f>IF(COUNTA(BG!K$2:K$8)&gt;=ROW(F8)-6,"xx",INDEX(BG!X$2:X$21,ROW(F2)-COUNTIF(F$6:F7,"xx")))</f>
        <v>xx</v>
      </c>
      <c r="G8" s="4" t="str">
        <f>IF(COUNTA(BG!L$2:L$8)&gt;=ROW(G8)-6,"xx",INDEX(BG!Y$2:Y$21,ROW(G2)-COUNTIF(G$6:G7,"xx")))</f>
        <v>xx</v>
      </c>
      <c r="I8" s="1"/>
      <c r="L8">
        <v>0</v>
      </c>
    </row>
    <row r="9" spans="1:13" ht="15.75" x14ac:dyDescent="0.3">
      <c r="A9" s="4">
        <f>IF(COUNTA(BG!F$2:F$8)&gt;=ROW(A9)-6,"xx",INDEX(BG!S$2:S$21,ROW(A3)-COUNTIF(A$6:A8,"xx")))</f>
        <v>0</v>
      </c>
      <c r="B9" s="4">
        <f>IF(COUNTA(BG!G$2:G$8)&gt;=ROW(B9)-6,"xx",INDEX(BG!T$2:T$21,ROW(B3)-COUNTIF(B$6:B8,"xx")))</f>
        <v>0</v>
      </c>
      <c r="C9" s="4" t="str">
        <f>IF(COUNTA(BG!H$2:H$8)&gt;=ROW(C9)-6,"xx",INDEX(BG!U$2:U$21,ROW(C3)-COUNTIF(C$6:C8,"xx")))</f>
        <v>xx</v>
      </c>
      <c r="D9" s="4" t="str">
        <f>IF(COUNTA(BG!I$2:I$8)&gt;=ROW(D9)-6,"xx",INDEX(BG!V$2:V$21,ROW(D3)-COUNTIF(D$6:D8,"xx")))</f>
        <v>xx</v>
      </c>
      <c r="E9" s="4" t="str">
        <f>IF(COUNTA(BG!J$2:J$8)&gt;=ROW(E9)-6,"xx",INDEX(BG!W$2:W$21,ROW(E3)-COUNTIF(E$6:E8,"xx")))</f>
        <v>xx</v>
      </c>
      <c r="F9" s="4" t="str">
        <f>IF(COUNTA(BG!K$2:K$8)&gt;=ROW(F9)-6,"xx",INDEX(BG!X$2:X$21,ROW(F3)-COUNTIF(F$6:F8,"xx")))</f>
        <v>xx</v>
      </c>
      <c r="G9" s="4" t="str">
        <f>IF(COUNTA(BG!L$2:L$8)&gt;=ROW(G9)-6,"xx",INDEX(BG!Y$2:Y$21,ROW(G3)-COUNTIF(G$6:G8,"xx")))</f>
        <v>xx</v>
      </c>
      <c r="L9">
        <v>0</v>
      </c>
    </row>
    <row r="10" spans="1:13" ht="15.75" x14ac:dyDescent="0.3">
      <c r="A10" s="4">
        <f>IF(COUNTA(BG!F$2:F$8)&gt;=ROW(A10)-6,"xx",INDEX(BG!S$2:S$21,ROW(A4)-COUNTIF(A$6:A9,"xx")))</f>
        <v>0</v>
      </c>
      <c r="B10" s="4">
        <f>IF(COUNTA(BG!G$2:G$8)&gt;=ROW(B10)-6,"xx",INDEX(BG!T$2:T$21,ROW(B4)-COUNTIF(B$6:B9,"xx")))</f>
        <v>0</v>
      </c>
      <c r="C10" s="4">
        <f>IF(COUNTA(BG!H$2:H$8)&gt;=ROW(C10)-6,"xx",INDEX(BG!U$2:U$21,ROW(C4)-COUNTIF(C$6:C9,"xx")))</f>
        <v>0</v>
      </c>
      <c r="D10" s="4" t="str">
        <f>IF(COUNTA(BG!I$2:I$8)&gt;=ROW(D10)-6,"xx",INDEX(BG!V$2:V$21,ROW(D4)-COUNTIF(D$6:D9,"xx")))</f>
        <v>xx</v>
      </c>
      <c r="E10" s="4" t="str">
        <f>IF(COUNTA(BG!J$2:J$8)&gt;=ROW(E10)-6,"xx",INDEX(BG!W$2:W$21,ROW(E4)-COUNTIF(E$6:E9,"xx")))</f>
        <v>xx</v>
      </c>
      <c r="F10" s="4" t="str">
        <f>IF(COUNTA(BG!K$2:K$8)&gt;=ROW(F10)-6,"xx",INDEX(BG!X$2:X$21,ROW(F4)-COUNTIF(F$6:F9,"xx")))</f>
        <v>xx</v>
      </c>
      <c r="G10" s="4" t="str">
        <f>IF(COUNTA(BG!L$2:L$8)&gt;=ROW(G10)-6,"xx",INDEX(BG!Y$2:Y$21,ROW(G4)-COUNTIF(G$6:G9,"xx")))</f>
        <v>xx</v>
      </c>
      <c r="L10">
        <v>0</v>
      </c>
    </row>
    <row r="11" spans="1:13" ht="15.75" x14ac:dyDescent="0.3">
      <c r="A11" s="4">
        <f>IF(COUNTA(BG!F$2:F$8)&gt;=ROW(A11)-6,"xx",INDEX(BG!S$2:S$21,ROW(A5)-COUNTIF(A$6:A10,"xx")))</f>
        <v>0</v>
      </c>
      <c r="B11" s="4">
        <f>IF(COUNTA(BG!G$2:G$8)&gt;=ROW(B11)-6,"xx",INDEX(BG!T$2:T$21,ROW(B5)-COUNTIF(B$6:B10,"xx")))</f>
        <v>0</v>
      </c>
      <c r="C11" s="4">
        <f>IF(COUNTA(BG!H$2:H$8)&gt;=ROW(C11)-6,"xx",INDEX(BG!U$2:U$21,ROW(C5)-COUNTIF(C$6:C10,"xx")))</f>
        <v>0</v>
      </c>
      <c r="D11" s="4">
        <f>IF(COUNTA(BG!I$2:I$8)&gt;=ROW(D11)-6,"xx",INDEX(BG!V$2:V$21,ROW(D5)-COUNTIF(D$6:D10,"xx")))</f>
        <v>0</v>
      </c>
      <c r="E11" s="4" t="str">
        <f>IF(COUNTA(BG!J$2:J$8)&gt;=ROW(E11)-6,"xx",INDEX(BG!W$2:W$21,ROW(E5)-COUNTIF(E$6:E10,"xx")))</f>
        <v>xx</v>
      </c>
      <c r="F11" s="4" t="str">
        <f>IF(COUNTA(BG!K$2:K$8)&gt;=ROW(F11)-6,"xx",INDEX(BG!X$2:X$21,ROW(F5)-COUNTIF(F$6:F10,"xx")))</f>
        <v>xx</v>
      </c>
      <c r="G11" s="4" t="str">
        <f>IF(COUNTA(BG!L$2:L$8)&gt;=ROW(G11)-6,"xx",INDEX(BG!Y$2:Y$21,ROW(G5)-COUNTIF(G$6:G10,"xx")))</f>
        <v>xx</v>
      </c>
      <c r="L11">
        <v>0</v>
      </c>
    </row>
    <row r="12" spans="1:13" ht="15.75" x14ac:dyDescent="0.3">
      <c r="A12" s="4">
        <f>IF(COUNTA(BG!F$2:F$8)&gt;=ROW(A12)-6,"xx",INDEX(BG!S$2:S$21,ROW(A6)-COUNTIF(A$6:A11,"xx")))</f>
        <v>0</v>
      </c>
      <c r="B12" s="4">
        <f>IF(COUNTA(BG!G$2:G$8)&gt;=ROW(B12)-6,"xx",INDEX(BG!T$2:T$21,ROW(B6)-COUNTIF(B$6:B11,"xx")))</f>
        <v>0</v>
      </c>
      <c r="C12" s="4">
        <f>IF(COUNTA(BG!H$2:H$8)&gt;=ROW(C12)-6,"xx",INDEX(BG!U$2:U$21,ROW(C6)-COUNTIF(C$6:C11,"xx")))</f>
        <v>0</v>
      </c>
      <c r="D12" s="4">
        <f>IF(COUNTA(BG!I$2:I$8)&gt;=ROW(D12)-6,"xx",INDEX(BG!V$2:V$21,ROW(D6)-COUNTIF(D$6:D11,"xx")))</f>
        <v>0</v>
      </c>
      <c r="E12" s="4">
        <f>IF(COUNTA(BG!J$2:J$8)&gt;=ROW(E12)-6,"xx",INDEX(BG!W$2:W$21,ROW(E6)-COUNTIF(E$6:E11,"xx")))</f>
        <v>0</v>
      </c>
      <c r="F12" s="4" t="str">
        <f>IF(COUNTA(BG!K$2:K$8)&gt;=ROW(F12)-6,"xx",INDEX(BG!X$2:X$21,ROW(F6)-COUNTIF(F$6:F11,"xx")))</f>
        <v>xx</v>
      </c>
      <c r="G12" s="4" t="str">
        <f>IF(COUNTA(BG!L$2:L$8)&gt;=ROW(G12)-6,"xx",INDEX(BG!Y$2:Y$21,ROW(G6)-COUNTIF(G$6:G11,"xx")))</f>
        <v>xx</v>
      </c>
    </row>
    <row r="13" spans="1:13" ht="15.75" x14ac:dyDescent="0.3">
      <c r="A13" s="4">
        <f>IF(COUNTA(BG!F$2:F$8)&gt;=ROW(A13)-6,"xx",INDEX(BG!S$2:S$21,ROW(A7)-COUNTIF(A$6:A12,"xx")))</f>
        <v>0</v>
      </c>
      <c r="B13" s="4">
        <f>IF(COUNTA(BG!G$2:G$8)&gt;=ROW(B13)-6,"xx",INDEX(BG!T$2:T$21,ROW(B7)-COUNTIF(B$6:B12,"xx")))</f>
        <v>0</v>
      </c>
      <c r="C13" s="4">
        <f>IF(COUNTA(BG!H$2:H$8)&gt;=ROW(C13)-6,"xx",INDEX(BG!U$2:U$21,ROW(C7)-COUNTIF(C$6:C12,"xx")))</f>
        <v>0</v>
      </c>
      <c r="D13" s="4">
        <f>IF(COUNTA(BG!I$2:I$8)&gt;=ROW(D13)-6,"xx",INDEX(BG!V$2:V$21,ROW(D7)-COUNTIF(D$6:D12,"xx")))</f>
        <v>0</v>
      </c>
      <c r="E13" s="4">
        <f>IF(COUNTA(BG!J$2:J$8)&gt;=ROW(E13)-6,"xx",INDEX(BG!W$2:W$21,ROW(E7)-COUNTIF(E$6:E12,"xx")))</f>
        <v>0</v>
      </c>
      <c r="F13" s="4">
        <f>IF(COUNTA(BG!K$2:K$8)&gt;=ROW(F13)-6,"xx",INDEX(BG!X$2:X$21,ROW(F7)-COUNTIF(F$6:F12,"xx")))</f>
        <v>0</v>
      </c>
      <c r="G13" s="4" t="str">
        <f>IF(COUNTA(BG!L$2:L$8)&gt;=ROW(G13)-6,"xx",INDEX(BG!Y$2:Y$21,ROW(G7)-COUNTIF(G$6:G12,"xx")))</f>
        <v>xx</v>
      </c>
    </row>
    <row r="14" spans="1:13" ht="15.75" x14ac:dyDescent="0.3">
      <c r="A14" s="4">
        <f>IF(COUNTA(BG!F$2:F$8)&gt;=ROW(A14)-6,"xx",INDEX(BG!S$2:S$21,ROW(A8)-COUNTIF(A$6:A13,"xx")))</f>
        <v>0</v>
      </c>
      <c r="B14" s="4">
        <f>IF(COUNTA(BG!G$2:G$8)&gt;=ROW(B14)-6,"xx",INDEX(BG!T$2:T$21,ROW(B8)-COUNTIF(B$6:B13,"xx")))</f>
        <v>0</v>
      </c>
      <c r="C14" s="4">
        <f>IF(COUNTA(BG!H$2:H$8)&gt;=ROW(C14)-6,"xx",INDEX(BG!U$2:U$21,ROW(C8)-COUNTIF(C$6:C13,"xx")))</f>
        <v>0</v>
      </c>
      <c r="D14" s="4">
        <f>IF(COUNTA(BG!I$2:I$8)&gt;=ROW(D14)-6,"xx",INDEX(BG!V$2:V$21,ROW(D8)-COUNTIF(D$6:D13,"xx")))</f>
        <v>0</v>
      </c>
      <c r="E14" s="4">
        <f>IF(COUNTA(BG!J$2:J$8)&gt;=ROW(E14)-6,"xx",INDEX(BG!W$2:W$21,ROW(E8)-COUNTIF(E$6:E13,"xx")))</f>
        <v>0</v>
      </c>
      <c r="F14" s="4">
        <f>IF(COUNTA(BG!K$2:K$8)&gt;=ROW(F14)-6,"xx",INDEX(BG!X$2:X$21,ROW(F8)-COUNTIF(F$6:F13,"xx")))</f>
        <v>0</v>
      </c>
      <c r="G14" s="4">
        <f>IF(COUNTA(BG!L$2:L$8)&gt;=ROW(G14)-6,"xx",INDEX(BG!Y$2:Y$21,ROW(G8)-COUNTIF(G$6:G13,"xx")))</f>
        <v>0</v>
      </c>
    </row>
    <row r="15" spans="1:13" ht="14.25" customHeight="1" x14ac:dyDescent="0.3">
      <c r="A15" s="4">
        <f>IF(COUNTA(BG!F$2:F$8)&gt;=ROW(A15)-6,"xx",INDEX(BG!S$2:S$21,ROW(A9)-COUNTIF(A$6:A14,"xx")))</f>
        <v>0</v>
      </c>
      <c r="B15" s="4">
        <f>IF(COUNTA(BG!G$2:G$8)&gt;=ROW(B15)-6,"xx",INDEX(BG!T$2:T$21,ROW(B9)-COUNTIF(B$6:B14,"xx")))</f>
        <v>0</v>
      </c>
      <c r="C15" s="4">
        <f>IF(COUNTA(BG!H$2:H$8)&gt;=ROW(C15)-6,"xx",INDEX(BG!U$2:U$21,ROW(C9)-COUNTIF(C$6:C14,"xx")))</f>
        <v>0</v>
      </c>
      <c r="D15" s="4">
        <f>IF(COUNTA(BG!I$2:I$8)&gt;=ROW(D15)-6,"xx",INDEX(BG!V$2:V$21,ROW(D9)-COUNTIF(D$6:D14,"xx")))</f>
        <v>0</v>
      </c>
      <c r="E15" s="4">
        <f>IF(COUNTA(BG!J$2:J$8)&gt;=ROW(E15)-6,"xx",INDEX(BG!W$2:W$21,ROW(E9)-COUNTIF(E$6:E14,"xx")))</f>
        <v>0</v>
      </c>
      <c r="F15" s="4">
        <f>IF(COUNTA(BG!K$2:K$8)&gt;=ROW(F15)-6,"xx",INDEX(BG!X$2:X$21,ROW(F9)-COUNTIF(F$6:F14,"xx")))</f>
        <v>0</v>
      </c>
      <c r="G15" s="4">
        <f>IF(COUNTA(BG!L$2:L$8)&gt;=ROW(G15)-6,"xx",INDEX(BG!Y$2:Y$21,ROW(G9)-COUNTIF(G$6:G14,"xx")))</f>
        <v>0</v>
      </c>
    </row>
    <row r="16" spans="1:13" ht="15.75" x14ac:dyDescent="0.3">
      <c r="A16" s="4">
        <f>IF(COUNTA(BG!F$2:F$8)&gt;=ROW(A16)-6,"xx",INDEX(BG!S$2:S$21,ROW(A10)-COUNTIF(A$6:A15,"xx")))</f>
        <v>0</v>
      </c>
      <c r="B16" s="4">
        <f>IF(COUNTA(BG!G$2:G$8)&gt;=ROW(B16)-6,"xx",INDEX(BG!T$2:T$21,ROW(B10)-COUNTIF(B$6:B15,"xx")))</f>
        <v>0</v>
      </c>
      <c r="C16" s="4">
        <f>IF(COUNTA(BG!H$2:H$8)&gt;=ROW(C16)-6,"xx",INDEX(BG!U$2:U$21,ROW(C10)-COUNTIF(C$6:C15,"xx")))</f>
        <v>0</v>
      </c>
      <c r="D16" s="4">
        <f>IF(COUNTA(BG!I$2:I$8)&gt;=ROW(D16)-6,"xx",INDEX(BG!V$2:V$21,ROW(D10)-COUNTIF(D$6:D15,"xx")))</f>
        <v>0</v>
      </c>
      <c r="E16" s="4">
        <f>IF(COUNTA(BG!J$2:J$8)&gt;=ROW(E16)-6,"xx",INDEX(BG!W$2:W$21,ROW(E10)-COUNTIF(E$6:E15,"xx")))</f>
        <v>0</v>
      </c>
      <c r="F16" s="4">
        <f>IF(COUNTA(BG!K$2:K$8)&gt;=ROW(F16)-6,"xx",INDEX(BG!X$2:X$21,ROW(F10)-COUNTIF(F$6:F15,"xx")))</f>
        <v>0</v>
      </c>
      <c r="G16" s="4">
        <f>IF(COUNTA(BG!L$2:L$8)&gt;=ROW(G16)-6,"xx",INDEX(BG!Y$2:Y$21,ROW(G10)-COUNTIF(G$6:G15,"xx")))</f>
        <v>0</v>
      </c>
    </row>
    <row r="17" spans="1:7" ht="15.75" x14ac:dyDescent="0.3">
      <c r="A17" s="4">
        <f>IF(COUNTA(BG!F$2:F$8)&gt;=ROW(A17)-6,"xx",INDEX(BG!S$2:S$21,ROW(A11)-COUNTIF(A$6:A16,"xx")))</f>
        <v>0</v>
      </c>
      <c r="B17" s="4">
        <f>IF(COUNTA(BG!G$2:G$8)&gt;=ROW(B17)-6,"xx",INDEX(BG!T$2:T$21,ROW(B11)-COUNTIF(B$6:B16,"xx")))</f>
        <v>0</v>
      </c>
      <c r="C17" s="4">
        <f>IF(COUNTA(BG!H$2:H$8)&gt;=ROW(C17)-6,"xx",INDEX(BG!U$2:U$21,ROW(C11)-COUNTIF(C$6:C16,"xx")))</f>
        <v>0</v>
      </c>
      <c r="D17" s="4">
        <f>IF(COUNTA(BG!I$2:I$8)&gt;=ROW(D17)-6,"xx",INDEX(BG!V$2:V$21,ROW(D11)-COUNTIF(D$6:D16,"xx")))</f>
        <v>0</v>
      </c>
      <c r="E17" s="4">
        <f>IF(COUNTA(BG!J$2:J$8)&gt;=ROW(E17)-6,"xx",INDEX(BG!W$2:W$21,ROW(E11)-COUNTIF(E$6:E16,"xx")))</f>
        <v>0</v>
      </c>
      <c r="F17" s="4">
        <f>IF(COUNTA(BG!K$2:K$8)&gt;=ROW(F17)-6,"xx",INDEX(BG!X$2:X$21,ROW(F11)-COUNTIF(F$6:F16,"xx")))</f>
        <v>0</v>
      </c>
      <c r="G17" s="4">
        <f>IF(COUNTA(BG!L$2:L$8)&gt;=ROW(G17)-6,"xx",INDEX(BG!Y$2:Y$21,ROW(G11)-COUNTIF(G$6:G16,"xx")))</f>
        <v>0</v>
      </c>
    </row>
    <row r="18" spans="1:7" ht="15.75" x14ac:dyDescent="0.3">
      <c r="A18" s="4">
        <f>IF(COUNTA(BG!F$2:F$8)&gt;=ROW(A18)-6,"xx",INDEX(BG!S$2:S$21,ROW(A12)-COUNTIF(A$6:A17,"xx")))</f>
        <v>0</v>
      </c>
      <c r="B18" s="4">
        <f>IF(COUNTA(BG!G$2:G$8)&gt;=ROW(B18)-6,"xx",INDEX(BG!T$2:T$21,ROW(B12)-COUNTIF(B$6:B17,"xx")))</f>
        <v>0</v>
      </c>
      <c r="C18" s="4">
        <f>IF(COUNTA(BG!H$2:H$8)&gt;=ROW(C18)-6,"xx",INDEX(BG!U$2:U$21,ROW(C12)-COUNTIF(C$6:C17,"xx")))</f>
        <v>0</v>
      </c>
      <c r="D18" s="4">
        <f>IF(COUNTA(BG!I$2:I$8)&gt;=ROW(D18)-6,"xx",INDEX(BG!V$2:V$21,ROW(D12)-COUNTIF(D$6:D17,"xx")))</f>
        <v>0</v>
      </c>
      <c r="E18" s="4">
        <f>IF(COUNTA(BG!J$2:J$8)&gt;=ROW(E18)-6,"xx",INDEX(BG!W$2:W$21,ROW(E12)-COUNTIF(E$6:E17,"xx")))</f>
        <v>0</v>
      </c>
      <c r="F18" s="4">
        <f>IF(COUNTA(BG!K$2:K$8)&gt;=ROW(F18)-6,"xx",INDEX(BG!X$2:X$21,ROW(F12)-COUNTIF(F$6:F17,"xx")))</f>
        <v>0</v>
      </c>
      <c r="G18" s="4">
        <f>IF(COUNTA(BG!L$2:L$8)&gt;=ROW(G18)-6,"xx",INDEX(BG!Y$2:Y$21,ROW(G12)-COUNTIF(G$6:G17,"xx")))</f>
        <v>0</v>
      </c>
    </row>
    <row r="19" spans="1:7" ht="15.75" x14ac:dyDescent="0.3">
      <c r="A19" s="4">
        <f>IF(COUNTA(BG!F$2:F$8)&gt;=ROW(A19)-6,"xx",INDEX(BG!S$2:S$21,ROW(A13)-COUNTIF(A$6:A18,"xx")))</f>
        <v>0</v>
      </c>
      <c r="B19" s="4">
        <f>IF(COUNTA(BG!G$2:G$8)&gt;=ROW(B19)-6,"xx",INDEX(BG!T$2:T$21,ROW(B13)-COUNTIF(B$6:B18,"xx")))</f>
        <v>0</v>
      </c>
      <c r="C19" s="4">
        <f>IF(COUNTA(BG!H$2:H$8)&gt;=ROW(C19)-6,"xx",INDEX(BG!U$2:U$21,ROW(C13)-COUNTIF(C$6:C18,"xx")))</f>
        <v>0</v>
      </c>
      <c r="D19" s="4">
        <f>IF(COUNTA(BG!I$2:I$8)&gt;=ROW(D19)-6,"xx",INDEX(BG!V$2:V$21,ROW(D13)-COUNTIF(D$6:D18,"xx")))</f>
        <v>0</v>
      </c>
      <c r="E19" s="4">
        <f>IF(COUNTA(BG!J$2:J$8)&gt;=ROW(E19)-6,"xx",INDEX(BG!W$2:W$21,ROW(E13)-COUNTIF(E$6:E18,"xx")))</f>
        <v>0</v>
      </c>
      <c r="F19" s="4">
        <f>IF(COUNTA(BG!K$2:K$8)&gt;=ROW(F19)-6,"xx",INDEX(BG!X$2:X$21,ROW(F13)-COUNTIF(F$6:F18,"xx")))</f>
        <v>0</v>
      </c>
      <c r="G19" s="4">
        <f>IF(COUNTA(BG!L$2:L$8)&gt;=ROW(G19)-6,"xx",INDEX(BG!Y$2:Y$21,ROW(G13)-COUNTIF(G$6:G18,"xx")))</f>
        <v>0</v>
      </c>
    </row>
    <row r="20" spans="1:7" ht="15.75" x14ac:dyDescent="0.3">
      <c r="A20" s="4">
        <f>IF(COUNTA(BG!F$2:F$8)&gt;=ROW(A20)-6,"xx",INDEX(BG!S$2:S$21,ROW(A14)-COUNTIF(A$6:A19,"xx")))</f>
        <v>0</v>
      </c>
      <c r="B20" s="4">
        <f>IF(COUNTA(BG!G$2:G$8)&gt;=ROW(B20)-6,"xx",INDEX(BG!T$2:T$21,ROW(B14)-COUNTIF(B$6:B19,"xx")))</f>
        <v>0</v>
      </c>
      <c r="C20" s="4">
        <f>IF(COUNTA(BG!H$2:H$8)&gt;=ROW(C20)-6,"xx",INDEX(BG!U$2:U$21,ROW(C14)-COUNTIF(C$6:C19,"xx")))</f>
        <v>0</v>
      </c>
      <c r="D20" s="4">
        <f>IF(COUNTA(BG!I$2:I$8)&gt;=ROW(D20)-6,"xx",INDEX(BG!V$2:V$21,ROW(D14)-COUNTIF(D$6:D19,"xx")))</f>
        <v>0</v>
      </c>
      <c r="E20" s="4">
        <f>IF(COUNTA(BG!J$2:J$8)&gt;=ROW(E20)-6,"xx",INDEX(BG!W$2:W$21,ROW(E14)-COUNTIF(E$6:E19,"xx")))</f>
        <v>0</v>
      </c>
      <c r="F20" s="4">
        <f>IF(COUNTA(BG!K$2:K$8)&gt;=ROW(F20)-6,"xx",INDEX(BG!X$2:X$21,ROW(F14)-COUNTIF(F$6:F19,"xx")))</f>
        <v>0</v>
      </c>
      <c r="G20" s="4">
        <f>IF(COUNTA(BG!L$2:L$8)&gt;=ROW(G20)-6,"xx",INDEX(BG!Y$2:Y$21,ROW(G14)-COUNTIF(G$6:G19,"xx")))</f>
        <v>0</v>
      </c>
    </row>
    <row r="21" spans="1:7" ht="15.75" x14ac:dyDescent="0.3">
      <c r="A21" s="4">
        <f>IF(COUNTA(BG!F$2:F$8)&gt;=ROW(A21)-6,"xx",INDEX(BG!S$2:S$21,ROW(A15)-COUNTIF(A$6:A20,"xx")))</f>
        <v>0</v>
      </c>
      <c r="B21" s="4">
        <f>IF(COUNTA(BG!G$2:G$8)&gt;=ROW(B21)-6,"xx",INDEX(BG!T$2:T$21,ROW(B15)-COUNTIF(B$6:B20,"xx")))</f>
        <v>0</v>
      </c>
      <c r="C21" s="4">
        <f>IF(COUNTA(BG!H$2:H$8)&gt;=ROW(C21)-6,"xx",INDEX(BG!U$2:U$21,ROW(C15)-COUNTIF(C$6:C20,"xx")))</f>
        <v>0</v>
      </c>
      <c r="D21" s="4">
        <f>IF(COUNTA(BG!I$2:I$8)&gt;=ROW(D21)-6,"xx",INDEX(BG!V$2:V$21,ROW(D15)-COUNTIF(D$6:D20,"xx")))</f>
        <v>0</v>
      </c>
      <c r="E21" s="4">
        <f>IF(COUNTA(BG!J$2:J$8)&gt;=ROW(E21)-6,"xx",INDEX(BG!W$2:W$21,ROW(E15)-COUNTIF(E$6:E20,"xx")))</f>
        <v>0</v>
      </c>
      <c r="F21" s="4">
        <f>IF(COUNTA(BG!K$2:K$8)&gt;=ROW(F21)-6,"xx",INDEX(BG!X$2:X$21,ROW(F15)-COUNTIF(F$6:F20,"xx")))</f>
        <v>0</v>
      </c>
      <c r="G21" s="4">
        <f>IF(COUNTA(BG!L$2:L$8)&gt;=ROW(G21)-6,"xx",INDEX(BG!Y$2:Y$21,ROW(G15)-COUNTIF(G$6:G20,"xx")))</f>
        <v>0</v>
      </c>
    </row>
    <row r="22" spans="1:7" ht="15.75" x14ac:dyDescent="0.3">
      <c r="A22" s="4">
        <f>IF(COUNTA(BG!F$2:F$8)&gt;=ROW(A22)-6,"xx",INDEX(BG!S$2:S$21,ROW(A16)-COUNTIF(A$6:A21,"xx")))</f>
        <v>0</v>
      </c>
      <c r="B22" s="4">
        <f>IF(COUNTA(BG!G$2:G$8)&gt;=ROW(B22)-6,"xx",INDEX(BG!T$2:T$21,ROW(B16)-COUNTIF(B$6:B21,"xx")))</f>
        <v>0</v>
      </c>
      <c r="C22" s="4">
        <f>IF(COUNTA(BG!H$2:H$8)&gt;=ROW(C22)-6,"xx",INDEX(BG!U$2:U$21,ROW(C16)-COUNTIF(C$6:C21,"xx")))</f>
        <v>0</v>
      </c>
      <c r="D22" s="4">
        <f>IF(COUNTA(BG!I$2:I$8)&gt;=ROW(D22)-6,"xx",INDEX(BG!V$2:V$21,ROW(D16)-COUNTIF(D$6:D21,"xx")))</f>
        <v>0</v>
      </c>
      <c r="E22" s="4">
        <f>IF(COUNTA(BG!J$2:J$8)&gt;=ROW(E22)-6,"xx",INDEX(BG!W$2:W$21,ROW(E16)-COUNTIF(E$6:E21,"xx")))</f>
        <v>0</v>
      </c>
      <c r="F22" s="4">
        <f>IF(COUNTA(BG!K$2:K$8)&gt;=ROW(F22)-6,"xx",INDEX(BG!X$2:X$21,ROW(F16)-COUNTIF(F$6:F21,"xx")))</f>
        <v>0</v>
      </c>
      <c r="G22" s="4">
        <f>IF(COUNTA(BG!L$2:L$8)&gt;=ROW(G22)-6,"xx",INDEX(BG!Y$2:Y$21,ROW(G16)-COUNTIF(G$6:G21,"xx")))</f>
        <v>0</v>
      </c>
    </row>
    <row r="23" spans="1:7" ht="15.75" x14ac:dyDescent="0.3">
      <c r="A23" s="4">
        <f>IF(COUNTA(BG!F$2:F$8)&gt;=ROW(A23)-6,"xx",INDEX(BG!S$2:S$21,ROW(A17)-COUNTIF(A$6:A22,"xx")))</f>
        <v>0</v>
      </c>
      <c r="B23" s="4">
        <f>IF(COUNTA(BG!G$2:G$8)&gt;=ROW(B23)-6,"xx",INDEX(BG!T$2:T$21,ROW(B17)-COUNTIF(B$6:B22,"xx")))</f>
        <v>0</v>
      </c>
      <c r="C23" s="4">
        <f>IF(COUNTA(BG!H$2:H$8)&gt;=ROW(C23)-6,"xx",INDEX(BG!U$2:U$21,ROW(C17)-COUNTIF(C$6:C22,"xx")))</f>
        <v>0</v>
      </c>
      <c r="D23" s="4">
        <f>IF(COUNTA(BG!I$2:I$8)&gt;=ROW(D23)-6,"xx",INDEX(BG!V$2:V$21,ROW(D17)-COUNTIF(D$6:D22,"xx")))</f>
        <v>0</v>
      </c>
      <c r="E23" s="4">
        <f>IF(COUNTA(BG!J$2:J$8)&gt;=ROW(E23)-6,"xx",INDEX(BG!W$2:W$21,ROW(E17)-COUNTIF(E$6:E22,"xx")))</f>
        <v>0</v>
      </c>
      <c r="F23" s="4">
        <f>IF(COUNTA(BG!K$2:K$8)&gt;=ROW(F23)-6,"xx",INDEX(BG!X$2:X$21,ROW(F17)-COUNTIF(F$6:F22,"xx")))</f>
        <v>0</v>
      </c>
      <c r="G23" s="4">
        <f>IF(COUNTA(BG!L$2:L$8)&gt;=ROW(G23)-6,"xx",INDEX(BG!Y$2:Y$21,ROW(G17)-COUNTIF(G$6:G22,"xx")))</f>
        <v>0</v>
      </c>
    </row>
    <row r="24" spans="1:7" ht="15.75" x14ac:dyDescent="0.3">
      <c r="A24" s="4">
        <f>IF(COUNTA(BG!F$2:F$8)&gt;=ROW(A24)-6,"xx",INDEX(BG!S$2:S$21,ROW(A18)-COUNTIF(A$6:A23,"xx")))</f>
        <v>0</v>
      </c>
      <c r="B24" s="4">
        <f>IF(COUNTA(BG!G$2:G$8)&gt;=ROW(B24)-6,"xx",INDEX(BG!T$2:T$21,ROW(B18)-COUNTIF(B$6:B23,"xx")))</f>
        <v>0</v>
      </c>
      <c r="C24" s="4">
        <f>IF(COUNTA(BG!H$2:H$8)&gt;=ROW(C24)-6,"xx",INDEX(BG!U$2:U$21,ROW(C18)-COUNTIF(C$6:C23,"xx")))</f>
        <v>0</v>
      </c>
      <c r="D24" s="4">
        <f>IF(COUNTA(BG!I$2:I$8)&gt;=ROW(D24)-6,"xx",INDEX(BG!V$2:V$21,ROW(D18)-COUNTIF(D$6:D23,"xx")))</f>
        <v>0</v>
      </c>
      <c r="E24" s="4">
        <f>IF(COUNTA(BG!J$2:J$8)&gt;=ROW(E24)-6,"xx",INDEX(BG!W$2:W$21,ROW(E18)-COUNTIF(E$6:E23,"xx")))</f>
        <v>0</v>
      </c>
      <c r="F24" s="4">
        <f>IF(COUNTA(BG!K$2:K$8)&gt;=ROW(F24)-6,"xx",INDEX(BG!X$2:X$21,ROW(F18)-COUNTIF(F$6:F23,"xx")))</f>
        <v>0</v>
      </c>
      <c r="G24" s="4">
        <f>IF(COUNTA(BG!L$2:L$8)&gt;=ROW(G24)-6,"xx",INDEX(BG!Y$2:Y$21,ROW(G18)-COUNTIF(G$6:G23,"xx")))</f>
        <v>0</v>
      </c>
    </row>
    <row r="25" spans="1:7" ht="15.75" x14ac:dyDescent="0.3">
      <c r="A25" s="4">
        <f>IF(COUNTA(BG!F$2:F$8)&gt;=ROW(A25)-6,"xx",INDEX(BG!S$2:S$21,ROW(A19)-COUNTIF(A$6:A24,"xx")))</f>
        <v>0</v>
      </c>
      <c r="B25" s="4">
        <f>IF(COUNTA(BG!G$2:G$8)&gt;=ROW(B25)-6,"xx",INDEX(BG!T$2:T$21,ROW(B19)-COUNTIF(B$6:B24,"xx")))</f>
        <v>0</v>
      </c>
      <c r="C25" s="4">
        <f>IF(COUNTA(BG!H$2:H$8)&gt;=ROW(C25)-6,"xx",INDEX(BG!U$2:U$21,ROW(C19)-COUNTIF(C$6:C24,"xx")))</f>
        <v>0</v>
      </c>
      <c r="D25" s="4">
        <f>IF(COUNTA(BG!I$2:I$8)&gt;=ROW(D25)-6,"xx",INDEX(BG!V$2:V$21,ROW(D19)-COUNTIF(D$6:D24,"xx")))</f>
        <v>0</v>
      </c>
      <c r="E25" s="4">
        <f>IF(COUNTA(BG!J$2:J$8)&gt;=ROW(E25)-6,"xx",INDEX(BG!W$2:W$21,ROW(E19)-COUNTIF(E$6:E24,"xx")))</f>
        <v>0</v>
      </c>
      <c r="F25" s="4">
        <f>IF(COUNTA(BG!K$2:K$8)&gt;=ROW(F25)-6,"xx",INDEX(BG!X$2:X$21,ROW(F19)-COUNTIF(F$6:F24,"xx")))</f>
        <v>0</v>
      </c>
      <c r="G25" s="4">
        <f>IF(COUNTA(BG!L$2:L$8)&gt;=ROW(G25)-6,"xx",INDEX(BG!Y$2:Y$21,ROW(G19)-COUNTIF(G$6:G24,"xx")))</f>
        <v>0</v>
      </c>
    </row>
    <row r="26" spans="1:7" ht="15.75" x14ac:dyDescent="0.3">
      <c r="A26" s="4">
        <f>IF(COUNTA(BG!F$2:F$8)&gt;=ROW(A26)-6,"xx",INDEX(BG!S$2:S$21,ROW(A20)-COUNTIF(A$6:A25,"xx")))</f>
        <v>0</v>
      </c>
      <c r="B26" s="4">
        <f>IF(COUNTA(BG!G$2:G$8)&gt;=ROW(B26)-6,"xx",INDEX(BG!T$2:T$21,ROW(B20)-COUNTIF(B$6:B25,"xx")))</f>
        <v>0</v>
      </c>
      <c r="C26" s="4">
        <f>IF(COUNTA(BG!H$2:H$8)&gt;=ROW(C26)-6,"xx",INDEX(BG!U$2:U$21,ROW(C20)-COUNTIF(C$6:C25,"xx")))</f>
        <v>0</v>
      </c>
      <c r="D26" s="4">
        <f>IF(COUNTA(BG!I$2:I$8)&gt;=ROW(D26)-6,"xx",INDEX(BG!V$2:V$21,ROW(D20)-COUNTIF(D$6:D25,"xx")))</f>
        <v>0</v>
      </c>
      <c r="E26" s="4">
        <f>IF(COUNTA(BG!J$2:J$8)&gt;=ROW(E26)-6,"xx",INDEX(BG!W$2:W$21,ROW(E20)-COUNTIF(E$6:E25,"xx")))</f>
        <v>0</v>
      </c>
      <c r="F26" s="4">
        <f>IF(COUNTA(BG!K$2:K$8)&gt;=ROW(F26)-6,"xx",INDEX(BG!X$2:X$21,ROW(F20)-COUNTIF(F$6:F25,"xx")))</f>
        <v>0</v>
      </c>
      <c r="G26" s="4">
        <f>IF(COUNTA(BG!L$2:L$8)&gt;=ROW(G26)-6,"xx",INDEX(BG!Y$2:Y$21,ROW(G20)-COUNTIF(G$6:G25,"xx")))</f>
        <v>0</v>
      </c>
    </row>
  </sheetData>
  <conditionalFormatting sqref="A2:G26 A1:C1">
    <cfRule type="expression" dxfId="11" priority="3">
      <formula>A1=0</formula>
    </cfRule>
  </conditionalFormatting>
  <conditionalFormatting sqref="D1:G1">
    <cfRule type="expression" dxfId="10" priority="1">
      <formula>D1=0</formula>
    </cfRule>
    <cfRule type="expression" dxfId="9" priority="2">
      <formula>OR(RIGHT(D1,1)="¨",RIGHT(D1,1)="©")</formula>
    </cfRule>
  </conditionalFormatting>
  <conditionalFormatting sqref="A1:G26">
    <cfRule type="expression" dxfId="8" priority="4">
      <formula>OR(RIGHT(A1,1)="♦",RIGHT(A1,1)="♥")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eset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10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raw3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0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addtofoundation">
                <anchor moveWithCells="1" sizeWithCells="1">
                  <from>
                    <xdr:col>2</xdr:col>
                    <xdr:colOff>600075</xdr:colOff>
                    <xdr:row>0</xdr:row>
                    <xdr:rowOff>180975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flip1">
                <anchor moveWithCells="1" siz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0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flip2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flip3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2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flip4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1" name="Button 8">
              <controlPr defaultSize="0" print="0" autoFill="0" autoPict="0" macro="[0]!flip5">
                <anchor moveWithCells="1" sizeWithCells="1">
                  <from>
                    <xdr:col>4</xdr:col>
                    <xdr:colOff>9525</xdr:colOff>
                    <xdr:row>5</xdr:row>
                    <xdr:rowOff>9525</xdr:rowOff>
                  </from>
                  <to>
                    <xdr:col>4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2" name="Button 9">
              <controlPr defaultSize="0" print="0" autoFill="0" autoPict="0" macro="[0]!flip6">
                <anchor moveWithCells="1" sizeWithCells="1">
                  <from>
                    <xdr:col>5</xdr:col>
                    <xdr:colOff>9525</xdr:colOff>
                    <xdr:row>5</xdr:row>
                    <xdr:rowOff>9525</xdr:rowOff>
                  </from>
                  <to>
                    <xdr:col>5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3" name="Button 10">
              <controlPr defaultSize="0" print="0" autoFill="0" autoPict="0" macro="[0]!flip7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6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4" name="Button 11">
              <controlPr defaultSize="0" print="0" autoFill="0" autoPict="0" macro="[0]!tabl1">
                <anchor moveWithCells="1" sizeWithCells="1"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0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5" name="Button 12">
              <controlPr defaultSize="0" print="0" autoFill="0" autoPict="0" macro="[0]!tabl2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6" name="Button 13">
              <controlPr defaultSize="0" print="0" autoFill="0" autoPict="0" macro="[0]!tabl3">
                <anchor moveWithCells="1" siz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2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7" name="Button 14">
              <controlPr defaultSize="0" print="0" autoFill="0" autoPict="0" macro="[0]!tabl4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3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8" name="Button 15">
              <controlPr defaultSize="0" print="0" autoFill="0" autoPict="0" macro="[0]!tabl5">
                <anchor moveWithCells="1" sizeWithCells="1">
                  <from>
                    <xdr:col>4</xdr:col>
                    <xdr:colOff>9525</xdr:colOff>
                    <xdr:row>4</xdr:row>
                    <xdr:rowOff>9525</xdr:rowOff>
                  </from>
                  <to>
                    <xdr:col>4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9" name="Button 16">
              <controlPr defaultSize="0" print="0" autoFill="0" autoPict="0" macro="[0]!tabl6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5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20" name="Button 17">
              <controlPr defaultSize="0" print="0" autoFill="0" autoPict="0" macro="[0]!tabl7">
                <anchor moveWithCells="1" sizeWithCells="1">
                  <from>
                    <xdr:col>6</xdr:col>
                    <xdr:colOff>9525</xdr:colOff>
                    <xdr:row>4</xdr:row>
                    <xdr:rowOff>9525</xdr:rowOff>
                  </from>
                  <to>
                    <xdr:col>6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1" name="Button 18">
              <controlPr defaultSize="0" print="0" autoFill="0" autoPict="0" macro="[0]!goodbye">
                <anchor moveWithCells="1" sizeWithCells="1">
                  <from>
                    <xdr:col>9</xdr:col>
                    <xdr:colOff>9525</xdr:colOff>
                    <xdr:row>3</xdr:row>
                    <xdr:rowOff>0</xdr:rowOff>
                  </from>
                  <to>
                    <xdr:col>9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2" name="Button 19">
              <controlPr defaultSize="0" print="0" autoFill="0" autoPict="0" macro="[0]!addtofoundation">
                <anchor moveWithCells="1" sizeWithCells="1">
                  <from>
                    <xdr:col>2</xdr:col>
                    <xdr:colOff>600075</xdr:colOff>
                    <xdr:row>0</xdr:row>
                    <xdr:rowOff>180975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O38"/>
  <sheetViews>
    <sheetView workbookViewId="0">
      <selection activeCell="L6" sqref="L6"/>
    </sheetView>
  </sheetViews>
  <sheetFormatPr defaultRowHeight="15" x14ac:dyDescent="0.25"/>
  <sheetData>
    <row r="1" spans="1:15" ht="16.5" x14ac:dyDescent="0.3">
      <c r="A1" s="6" t="str">
        <f>INDEX(TBG!F2:F35,MATCH("x",TBG!G2:G35,0))</f>
        <v>o</v>
      </c>
      <c r="B1" s="6"/>
      <c r="C1" s="6"/>
      <c r="D1" s="6"/>
      <c r="E1" s="6" t="str">
        <f>IFERROR(INDEX(TBG!Z$2:Z$15,TBG!Z$1),"♧")</f>
        <v>♧</v>
      </c>
      <c r="F1" s="6" t="str">
        <f>IFERROR(INDEX(TBG!AA$2:AA$15,TBG!AA$1),"☆")</f>
        <v>☆</v>
      </c>
      <c r="G1" s="6" t="str">
        <f>IFERROR(INDEX(TBG!AB$2:AB$15,TBG!AB$1),"♡")</f>
        <v>♡</v>
      </c>
      <c r="H1" s="6" t="str">
        <f>IFERROR(INDEX(TBG!AC$2:AC$15,TBG!AC$1),"♤")</f>
        <v>♤</v>
      </c>
      <c r="I1" s="6" t="str">
        <f>IFERROR(INDEX(TBG!AD$2:AD$23,TBG!AD$1),"⛎")</f>
        <v>⛎</v>
      </c>
      <c r="K1" t="s">
        <v>169</v>
      </c>
      <c r="N1" t="s">
        <v>10</v>
      </c>
    </row>
    <row r="2" spans="1:15" ht="16.5" x14ac:dyDescent="0.3">
      <c r="A2" s="6"/>
      <c r="B2" s="6" t="str">
        <f>IF(INDEX(TBG!F1:F36,MATCH("x",TBG!G1:G35,0)+1)="o","End of Deck","")</f>
        <v/>
      </c>
      <c r="C2" s="6"/>
      <c r="D2" s="6"/>
      <c r="E2" s="6"/>
      <c r="F2" s="6"/>
      <c r="G2" s="6"/>
      <c r="H2" s="6"/>
      <c r="I2" s="6"/>
      <c r="K2">
        <f>TBG!AE2</f>
        <v>0</v>
      </c>
      <c r="N2">
        <v>1045</v>
      </c>
      <c r="O2" t="s">
        <v>173</v>
      </c>
    </row>
    <row r="3" spans="1:15" ht="16.5" x14ac:dyDescent="0.3">
      <c r="A3" s="6"/>
      <c r="B3" s="6"/>
      <c r="C3" s="6"/>
      <c r="D3" s="6"/>
      <c r="E3" s="6"/>
      <c r="F3" s="6"/>
      <c r="G3" s="6"/>
      <c r="H3" s="6"/>
      <c r="I3" s="6"/>
      <c r="N3">
        <v>1010</v>
      </c>
      <c r="O3" t="s">
        <v>174</v>
      </c>
    </row>
    <row r="4" spans="1:15" ht="16.5" x14ac:dyDescent="0.3">
      <c r="A4" s="6"/>
      <c r="B4" s="6"/>
      <c r="C4" s="6"/>
      <c r="D4" s="6"/>
      <c r="E4" s="6"/>
      <c r="F4" s="6"/>
      <c r="G4" s="6"/>
      <c r="H4" s="6"/>
      <c r="I4" s="6"/>
      <c r="N4">
        <v>0</v>
      </c>
    </row>
    <row r="5" spans="1:15" ht="16.5" x14ac:dyDescent="0.3">
      <c r="A5" s="6"/>
      <c r="B5" s="6"/>
      <c r="C5" s="6"/>
      <c r="D5" s="6"/>
      <c r="E5" s="6"/>
      <c r="F5" s="6"/>
      <c r="G5" s="6"/>
      <c r="H5" s="6"/>
      <c r="I5" s="6"/>
      <c r="N5">
        <v>0</v>
      </c>
    </row>
    <row r="6" spans="1:15" ht="16.5" x14ac:dyDescent="0.3">
      <c r="A6" s="6"/>
      <c r="B6" s="6"/>
      <c r="C6" s="6"/>
      <c r="D6" s="6"/>
      <c r="E6" s="6"/>
      <c r="F6" s="6"/>
      <c r="G6" s="6"/>
      <c r="H6" s="6"/>
      <c r="I6" s="6"/>
      <c r="N6">
        <v>0</v>
      </c>
    </row>
    <row r="7" spans="1:15" ht="16.5" x14ac:dyDescent="0.3">
      <c r="A7" s="6" t="str">
        <f>IF(TBG!H$1&gt;=ROW(A7)-6,"xx",INDEX(TBG!Q$2:Q$33,ROW(A1)-COUNTIF(A$6:A6,"xx")))</f>
        <v>xx</v>
      </c>
      <c r="B7" s="6" t="str">
        <f>IF(TBG!I$1&gt;=ROW(B7)-6,"xx",INDEX(TBG!R$2:R$33,ROW(B1)-COUNTIF(B$6:B6,"xx")))</f>
        <v>xx</v>
      </c>
      <c r="C7" s="6" t="str">
        <f>IF(TBG!J$1&gt;=ROW(C7)-6,"xx",INDEX(TBG!S$2:S$33,ROW(C1)-COUNTIF(C$6:C6,"xx")))</f>
        <v>xx</v>
      </c>
      <c r="D7" s="6" t="str">
        <f>IF(TBG!K$1&gt;=ROW(D7)-6,"xx",INDEX(TBG!T$2:T$33,ROW(D1)-COUNTIF(D$6:D6,"xx")))</f>
        <v>xx</v>
      </c>
      <c r="E7" s="6" t="str">
        <f>IF(TBG!L$1&gt;=ROW(E7)-6,"xx",INDEX(TBG!U$2:U$33,ROW(E1)-COUNTIF(E$6:E6,"xx")))</f>
        <v>xx</v>
      </c>
      <c r="F7" s="6" t="str">
        <f>IF(TBG!M$1&gt;=ROW(F7)-6,"xx",INDEX(TBG!V$2:V$33,ROW(F1)-COUNTIF(F$6:F6,"xx")))</f>
        <v>xx</v>
      </c>
      <c r="G7" s="6" t="str">
        <f>IF(TBG!N$1&gt;=ROW(G7)-6,"xx",INDEX(TBG!W$2:W$33,ROW(G1)-COUNTIF(G$6:G6,"xx")))</f>
        <v>xx</v>
      </c>
      <c r="H7" s="6" t="str">
        <f>IF(TBG!O$1&gt;=ROW(H7)-6,"xx",INDEX(TBG!X$2:X$33,ROW(H1)-COUNTIF(H$6:H6,"xx")))</f>
        <v>xx</v>
      </c>
      <c r="I7" s="6" t="str">
        <f>IF(TBG!P$1&gt;=ROW(I7)-6,"xx",INDEX(TBG!Y$2:Y$33,ROW(I1)-COUNTIF(I$6:I6,"xx")))</f>
        <v>xx</v>
      </c>
      <c r="N7">
        <v>0</v>
      </c>
    </row>
    <row r="8" spans="1:15" ht="16.5" x14ac:dyDescent="0.3">
      <c r="A8" s="6">
        <f>IF(TBG!H$1&gt;=ROW(A8)-6,"xx",INDEX(TBG!Q$2:Q$33,ROW(A2)-COUNTIF(A$6:A7,"xx")))</f>
        <v>0</v>
      </c>
      <c r="B8" s="6" t="str">
        <f>IF(TBG!I$1&gt;=ROW(B8)-6,"xx",INDEX(TBG!R$2:R$33,ROW(B2)-COUNTIF(B$6:B7,"xx")))</f>
        <v>xx</v>
      </c>
      <c r="C8" s="6" t="str">
        <f>IF(TBG!J$1&gt;=ROW(C8)-6,"xx",INDEX(TBG!S$2:S$33,ROW(C2)-COUNTIF(C$6:C7,"xx")))</f>
        <v>xx</v>
      </c>
      <c r="D8" s="6" t="str">
        <f>IF(TBG!K$1&gt;=ROW(D8)-6,"xx",INDEX(TBG!T$2:T$33,ROW(D2)-COUNTIF(D$6:D7,"xx")))</f>
        <v>xx</v>
      </c>
      <c r="E8" s="6" t="str">
        <f>IF(TBG!L$1&gt;=ROW(E8)-6,"xx",INDEX(TBG!U$2:U$33,ROW(E2)-COUNTIF(E$6:E7,"xx")))</f>
        <v>xx</v>
      </c>
      <c r="F8" s="6" t="str">
        <f>IF(TBG!M$1&gt;=ROW(F8)-6,"xx",INDEX(TBG!V$2:V$33,ROW(F2)-COUNTIF(F$6:F7,"xx")))</f>
        <v>xx</v>
      </c>
      <c r="G8" s="6" t="str">
        <f>IF(TBG!N$1&gt;=ROW(G8)-6,"xx",INDEX(TBG!W$2:W$33,ROW(G2)-COUNTIF(G$6:G7,"xx")))</f>
        <v>xx</v>
      </c>
      <c r="H8" s="6" t="str">
        <f>IF(TBG!O$1&gt;=ROW(H8)-6,"xx",INDEX(TBG!X$2:X$33,ROW(H2)-COUNTIF(H$6:H7,"xx")))</f>
        <v>xx</v>
      </c>
      <c r="I8" s="6" t="str">
        <f>IF(TBG!P$1&gt;=ROW(I8)-6,"xx",INDEX(TBG!Y$2:Y$33,ROW(I2)-COUNTIF(I$6:I7,"xx")))</f>
        <v>xx</v>
      </c>
      <c r="N8">
        <v>0</v>
      </c>
    </row>
    <row r="9" spans="1:15" ht="16.5" x14ac:dyDescent="0.3">
      <c r="A9" s="6">
        <f>IF(TBG!H$1&gt;=ROW(A9)-6,"xx",INDEX(TBG!Q$2:Q$33,ROW(A3)-COUNTIF(A$6:A8,"xx")))</f>
        <v>0</v>
      </c>
      <c r="B9" s="6">
        <f>IF(TBG!I$1&gt;=ROW(B9)-6,"xx",INDEX(TBG!R$2:R$33,ROW(B3)-COUNTIF(B$6:B8,"xx")))</f>
        <v>0</v>
      </c>
      <c r="C9" s="6" t="str">
        <f>IF(TBG!J$1&gt;=ROW(C9)-6,"xx",INDEX(TBG!S$2:S$33,ROW(C3)-COUNTIF(C$6:C8,"xx")))</f>
        <v>xx</v>
      </c>
      <c r="D9" s="6" t="str">
        <f>IF(TBG!K$1&gt;=ROW(D9)-6,"xx",INDEX(TBG!T$2:T$33,ROW(D3)-COUNTIF(D$6:D8,"xx")))</f>
        <v>xx</v>
      </c>
      <c r="E9" s="6" t="str">
        <f>IF(TBG!L$1&gt;=ROW(E9)-6,"xx",INDEX(TBG!U$2:U$33,ROW(E3)-COUNTIF(E$6:E8,"xx")))</f>
        <v>xx</v>
      </c>
      <c r="F9" s="6" t="str">
        <f>IF(TBG!M$1&gt;=ROW(F9)-6,"xx",INDEX(TBG!V$2:V$33,ROW(F3)-COUNTIF(F$6:F8,"xx")))</f>
        <v>xx</v>
      </c>
      <c r="G9" s="6" t="str">
        <f>IF(TBG!N$1&gt;=ROW(G9)-6,"xx",INDEX(TBG!W$2:W$33,ROW(G3)-COUNTIF(G$6:G8,"xx")))</f>
        <v>xx</v>
      </c>
      <c r="H9" s="6" t="str">
        <f>IF(TBG!O$1&gt;=ROW(H9)-6,"xx",INDEX(TBG!X$2:X$33,ROW(H3)-COUNTIF(H$6:H8,"xx")))</f>
        <v>xx</v>
      </c>
      <c r="I9" s="6" t="str">
        <f>IF(TBG!P$1&gt;=ROW(I9)-6,"xx",INDEX(TBG!Y$2:Y$33,ROW(I3)-COUNTIF(I$6:I8,"xx")))</f>
        <v>xx</v>
      </c>
      <c r="N9">
        <v>0</v>
      </c>
    </row>
    <row r="10" spans="1:15" ht="16.5" x14ac:dyDescent="0.3">
      <c r="A10" s="6">
        <f>IF(TBG!H$1&gt;=ROW(A10)-6,"xx",INDEX(TBG!Q$2:Q$33,ROW(A4)-COUNTIF(A$6:A9,"xx")))</f>
        <v>0</v>
      </c>
      <c r="B10" s="6">
        <f>IF(TBG!I$1&gt;=ROW(B10)-6,"xx",INDEX(TBG!R$2:R$33,ROW(B4)-COUNTIF(B$6:B9,"xx")))</f>
        <v>0</v>
      </c>
      <c r="C10" s="6">
        <f>IF(TBG!J$1&gt;=ROW(C10)-6,"xx",INDEX(TBG!S$2:S$33,ROW(C4)-COUNTIF(C$6:C9,"xx")))</f>
        <v>0</v>
      </c>
      <c r="D10" s="6" t="str">
        <f>IF(TBG!K$1&gt;=ROW(D10)-6,"xx",INDEX(TBG!T$2:T$33,ROW(D4)-COUNTIF(D$6:D9,"xx")))</f>
        <v>xx</v>
      </c>
      <c r="E10" s="6" t="str">
        <f>IF(TBG!L$1&gt;=ROW(E10)-6,"xx",INDEX(TBG!U$2:U$33,ROW(E4)-COUNTIF(E$6:E9,"xx")))</f>
        <v>xx</v>
      </c>
      <c r="F10" s="6" t="str">
        <f>IF(TBG!M$1&gt;=ROW(F10)-6,"xx",INDEX(TBG!V$2:V$33,ROW(F4)-COUNTIF(F$6:F9,"xx")))</f>
        <v>xx</v>
      </c>
      <c r="G10" s="6" t="str">
        <f>IF(TBG!N$1&gt;=ROW(G10)-6,"xx",INDEX(TBG!W$2:W$33,ROW(G4)-COUNTIF(G$6:G9,"xx")))</f>
        <v>xx</v>
      </c>
      <c r="H10" s="6" t="str">
        <f>IF(TBG!O$1&gt;=ROW(H10)-6,"xx",INDEX(TBG!X$2:X$33,ROW(H4)-COUNTIF(H$6:H9,"xx")))</f>
        <v>xx</v>
      </c>
      <c r="I10" s="6" t="str">
        <f>IF(TBG!P$1&gt;=ROW(I10)-6,"xx",INDEX(TBG!Y$2:Y$33,ROW(I4)-COUNTIF(I$6:I9,"xx")))</f>
        <v>xx</v>
      </c>
      <c r="N10">
        <v>0</v>
      </c>
    </row>
    <row r="11" spans="1:15" ht="16.5" x14ac:dyDescent="0.3">
      <c r="A11" s="6">
        <f>IF(TBG!H$1&gt;=ROW(A11)-6,"xx",INDEX(TBG!Q$2:Q$33,ROW(A5)-COUNTIF(A$6:A10,"xx")))</f>
        <v>0</v>
      </c>
      <c r="B11" s="6">
        <f>IF(TBG!I$1&gt;=ROW(B11)-6,"xx",INDEX(TBG!R$2:R$33,ROW(B5)-COUNTIF(B$6:B10,"xx")))</f>
        <v>0</v>
      </c>
      <c r="C11" s="6">
        <f>IF(TBG!J$1&gt;=ROW(C11)-6,"xx",INDEX(TBG!S$2:S$33,ROW(C5)-COUNTIF(C$6:C10,"xx")))</f>
        <v>0</v>
      </c>
      <c r="D11" s="6">
        <f>IF(TBG!K$1&gt;=ROW(D11)-6,"xx",INDEX(TBG!T$2:T$33,ROW(D5)-COUNTIF(D$6:D10,"xx")))</f>
        <v>0</v>
      </c>
      <c r="E11" s="6" t="str">
        <f>IF(TBG!L$1&gt;=ROW(E11)-6,"xx",INDEX(TBG!U$2:U$33,ROW(E5)-COUNTIF(E$6:E10,"xx")))</f>
        <v>xx</v>
      </c>
      <c r="F11" s="6" t="str">
        <f>IF(TBG!M$1&gt;=ROW(F11)-6,"xx",INDEX(TBG!V$2:V$33,ROW(F5)-COUNTIF(F$6:F10,"xx")))</f>
        <v>xx</v>
      </c>
      <c r="G11" s="6" t="str">
        <f>IF(TBG!N$1&gt;=ROW(G11)-6,"xx",INDEX(TBG!W$2:W$33,ROW(G5)-COUNTIF(G$6:G10,"xx")))</f>
        <v>xx</v>
      </c>
      <c r="H11" s="6" t="str">
        <f>IF(TBG!O$1&gt;=ROW(H11)-6,"xx",INDEX(TBG!X$2:X$33,ROW(H5)-COUNTIF(H$6:H10,"xx")))</f>
        <v>xx</v>
      </c>
      <c r="I11" s="6" t="str">
        <f>IF(TBG!P$1&gt;=ROW(I11)-6,"xx",INDEX(TBG!Y$2:Y$33,ROW(I5)-COUNTIF(I$6:I10,"xx")))</f>
        <v>xx</v>
      </c>
      <c r="N11">
        <v>0</v>
      </c>
    </row>
    <row r="12" spans="1:15" ht="16.5" x14ac:dyDescent="0.3">
      <c r="A12" s="6">
        <f>IF(TBG!H$1&gt;=ROW(A12)-6,"xx",INDEX(TBG!Q$2:Q$33,ROW(A6)-COUNTIF(A$6:A11,"xx")))</f>
        <v>0</v>
      </c>
      <c r="B12" s="6">
        <f>IF(TBG!I$1&gt;=ROW(B12)-6,"xx",INDEX(TBG!R$2:R$33,ROW(B6)-COUNTIF(B$6:B11,"xx")))</f>
        <v>0</v>
      </c>
      <c r="C12" s="6">
        <f>IF(TBG!J$1&gt;=ROW(C12)-6,"xx",INDEX(TBG!S$2:S$33,ROW(C6)-COUNTIF(C$6:C11,"xx")))</f>
        <v>0</v>
      </c>
      <c r="D12" s="6">
        <f>IF(TBG!K$1&gt;=ROW(D12)-6,"xx",INDEX(TBG!T$2:T$33,ROW(D6)-COUNTIF(D$6:D11,"xx")))</f>
        <v>0</v>
      </c>
      <c r="E12" s="6">
        <f>IF(TBG!L$1&gt;=ROW(E12)-6,"xx",INDEX(TBG!U$2:U$33,ROW(E6)-COUNTIF(E$6:E11,"xx")))</f>
        <v>0</v>
      </c>
      <c r="F12" s="6" t="str">
        <f>IF(TBG!M$1&gt;=ROW(F12)-6,"xx",INDEX(TBG!V$2:V$33,ROW(F6)-COUNTIF(F$6:F11,"xx")))</f>
        <v>xx</v>
      </c>
      <c r="G12" s="6" t="str">
        <f>IF(TBG!N$1&gt;=ROW(G12)-6,"xx",INDEX(TBG!W$2:W$33,ROW(G6)-COUNTIF(G$6:G11,"xx")))</f>
        <v>xx</v>
      </c>
      <c r="H12" s="6" t="str">
        <f>IF(TBG!O$1&gt;=ROW(H12)-6,"xx",INDEX(TBG!X$2:X$33,ROW(H6)-COUNTIF(H$6:H11,"xx")))</f>
        <v>xx</v>
      </c>
      <c r="I12" s="6" t="str">
        <f>IF(TBG!P$1&gt;=ROW(I12)-6,"xx",INDEX(TBG!Y$2:Y$33,ROW(I6)-COUNTIF(I$6:I11,"xx")))</f>
        <v>xx</v>
      </c>
    </row>
    <row r="13" spans="1:15" ht="16.5" x14ac:dyDescent="0.3">
      <c r="A13" s="6">
        <f>IF(TBG!H$1&gt;=ROW(A13)-6,"xx",INDEX(TBG!Q$2:Q$33,ROW(A7)-COUNTIF(A$6:A12,"xx")))</f>
        <v>0</v>
      </c>
      <c r="B13" s="6">
        <f>IF(TBG!I$1&gt;=ROW(B13)-6,"xx",INDEX(TBG!R$2:R$33,ROW(B7)-COUNTIF(B$6:B12,"xx")))</f>
        <v>0</v>
      </c>
      <c r="C13" s="6">
        <f>IF(TBG!J$1&gt;=ROW(C13)-6,"xx",INDEX(TBG!S$2:S$33,ROW(C7)-COUNTIF(C$6:C12,"xx")))</f>
        <v>0</v>
      </c>
      <c r="D13" s="6">
        <f>IF(TBG!K$1&gt;=ROW(D13)-6,"xx",INDEX(TBG!T$2:T$33,ROW(D7)-COUNTIF(D$6:D12,"xx")))</f>
        <v>0</v>
      </c>
      <c r="E13" s="6">
        <f>IF(TBG!L$1&gt;=ROW(E13)-6,"xx",INDEX(TBG!U$2:U$33,ROW(E7)-COUNTIF(E$6:E12,"xx")))</f>
        <v>0</v>
      </c>
      <c r="F13" s="6">
        <f>IF(TBG!M$1&gt;=ROW(F13)-6,"xx",INDEX(TBG!V$2:V$33,ROW(F7)-COUNTIF(F$6:F12,"xx")))</f>
        <v>0</v>
      </c>
      <c r="G13" s="6" t="str">
        <f>IF(TBG!N$1&gt;=ROW(G13)-6,"xx",INDEX(TBG!W$2:W$33,ROW(G7)-COUNTIF(G$6:G12,"xx")))</f>
        <v>xx</v>
      </c>
      <c r="H13" s="6" t="str">
        <f>IF(TBG!O$1&gt;=ROW(H13)-6,"xx",INDEX(TBG!X$2:X$33,ROW(H7)-COUNTIF(H$6:H12,"xx")))</f>
        <v>xx</v>
      </c>
      <c r="I13" s="6" t="str">
        <f>IF(TBG!P$1&gt;=ROW(I13)-6,"xx",INDEX(TBG!Y$2:Y$33,ROW(I7)-COUNTIF(I$6:I12,"xx")))</f>
        <v>xx</v>
      </c>
    </row>
    <row r="14" spans="1:15" ht="16.5" x14ac:dyDescent="0.3">
      <c r="A14" s="6">
        <f>IF(TBG!H$1&gt;=ROW(A14)-6,"xx",INDEX(TBG!Q$2:Q$33,ROW(A8)-COUNTIF(A$6:A13,"xx")))</f>
        <v>0</v>
      </c>
      <c r="B14" s="6">
        <f>IF(TBG!I$1&gt;=ROW(B14)-6,"xx",INDEX(TBG!R$2:R$33,ROW(B8)-COUNTIF(B$6:B13,"xx")))</f>
        <v>0</v>
      </c>
      <c r="C14" s="6">
        <f>IF(TBG!J$1&gt;=ROW(C14)-6,"xx",INDEX(TBG!S$2:S$33,ROW(C8)-COUNTIF(C$6:C13,"xx")))</f>
        <v>0</v>
      </c>
      <c r="D14" s="6">
        <f>IF(TBG!K$1&gt;=ROW(D14)-6,"xx",INDEX(TBG!T$2:T$33,ROW(D8)-COUNTIF(D$6:D13,"xx")))</f>
        <v>0</v>
      </c>
      <c r="E14" s="6">
        <f>IF(TBG!L$1&gt;=ROW(E14)-6,"xx",INDEX(TBG!U$2:U$33,ROW(E8)-COUNTIF(E$6:E13,"xx")))</f>
        <v>0</v>
      </c>
      <c r="F14" s="6">
        <f>IF(TBG!M$1&gt;=ROW(F14)-6,"xx",INDEX(TBG!V$2:V$33,ROW(F8)-COUNTIF(F$6:F13,"xx")))</f>
        <v>0</v>
      </c>
      <c r="G14" s="6">
        <f>IF(TBG!N$1&gt;=ROW(G14)-6,"xx",INDEX(TBG!W$2:W$33,ROW(G8)-COUNTIF(G$6:G13,"xx")))</f>
        <v>0</v>
      </c>
      <c r="H14" s="6" t="str">
        <f>IF(TBG!O$1&gt;=ROW(H14)-6,"xx",INDEX(TBG!X$2:X$33,ROW(H8)-COUNTIF(H$6:H13,"xx")))</f>
        <v>xx</v>
      </c>
      <c r="I14" s="6" t="str">
        <f>IF(TBG!P$1&gt;=ROW(I14)-6,"xx",INDEX(TBG!Y$2:Y$33,ROW(I8)-COUNTIF(I$6:I13,"xx")))</f>
        <v>xx</v>
      </c>
    </row>
    <row r="15" spans="1:15" ht="16.5" x14ac:dyDescent="0.3">
      <c r="A15" s="6">
        <f>IF(TBG!H$1&gt;=ROW(A15)-6,"xx",INDEX(TBG!Q$2:Q$33,ROW(A9)-COUNTIF(A$6:A14,"xx")))</f>
        <v>0</v>
      </c>
      <c r="B15" s="6">
        <f>IF(TBG!I$1&gt;=ROW(B15)-6,"xx",INDEX(TBG!R$2:R$33,ROW(B9)-COUNTIF(B$6:B14,"xx")))</f>
        <v>0</v>
      </c>
      <c r="C15" s="6">
        <f>IF(TBG!J$1&gt;=ROW(C15)-6,"xx",INDEX(TBG!S$2:S$33,ROW(C9)-COUNTIF(C$6:C14,"xx")))</f>
        <v>0</v>
      </c>
      <c r="D15" s="6">
        <f>IF(TBG!K$1&gt;=ROW(D15)-6,"xx",INDEX(TBG!T$2:T$33,ROW(D9)-COUNTIF(D$6:D14,"xx")))</f>
        <v>0</v>
      </c>
      <c r="E15" s="6">
        <f>IF(TBG!L$1&gt;=ROW(E15)-6,"xx",INDEX(TBG!U$2:U$33,ROW(E9)-COUNTIF(E$6:E14,"xx")))</f>
        <v>0</v>
      </c>
      <c r="F15" s="6">
        <f>IF(TBG!M$1&gt;=ROW(F15)-6,"xx",INDEX(TBG!V$2:V$33,ROW(F9)-COUNTIF(F$6:F14,"xx")))</f>
        <v>0</v>
      </c>
      <c r="G15" s="6">
        <f>IF(TBG!N$1&gt;=ROW(G15)-6,"xx",INDEX(TBG!W$2:W$33,ROW(G9)-COUNTIF(G$6:G14,"xx")))</f>
        <v>0</v>
      </c>
      <c r="H15" s="6">
        <f>IF(TBG!O$1&gt;=ROW(H15)-6,"xx",INDEX(TBG!X$2:X$33,ROW(H9)-COUNTIF(H$6:H14,"xx")))</f>
        <v>0</v>
      </c>
      <c r="I15" s="6" t="str">
        <f>IF(TBG!P$1&gt;=ROW(I15)-6,"xx",INDEX(TBG!Y$2:Y$33,ROW(I9)-COUNTIF(I$6:I14,"xx")))</f>
        <v>xx</v>
      </c>
    </row>
    <row r="16" spans="1:15" ht="16.5" x14ac:dyDescent="0.3">
      <c r="A16" s="6">
        <f>IF(TBG!H$1&gt;=ROW(A16)-6,"xx",INDEX(TBG!Q$2:Q$33,ROW(A10)-COUNTIF(A$6:A15,"xx")))</f>
        <v>0</v>
      </c>
      <c r="B16" s="6">
        <f>IF(TBG!I$1&gt;=ROW(B16)-6,"xx",INDEX(TBG!R$2:R$33,ROW(B10)-COUNTIF(B$6:B15,"xx")))</f>
        <v>0</v>
      </c>
      <c r="C16" s="6">
        <f>IF(TBG!J$1&gt;=ROW(C16)-6,"xx",INDEX(TBG!S$2:S$33,ROW(C10)-COUNTIF(C$6:C15,"xx")))</f>
        <v>0</v>
      </c>
      <c r="D16" s="6">
        <f>IF(TBG!K$1&gt;=ROW(D16)-6,"xx",INDEX(TBG!T$2:T$33,ROW(D10)-COUNTIF(D$6:D15,"xx")))</f>
        <v>0</v>
      </c>
      <c r="E16" s="6">
        <f>IF(TBG!L$1&gt;=ROW(E16)-6,"xx",INDEX(TBG!U$2:U$33,ROW(E10)-COUNTIF(E$6:E15,"xx")))</f>
        <v>0</v>
      </c>
      <c r="F16" s="6">
        <f>IF(TBG!M$1&gt;=ROW(F16)-6,"xx",INDEX(TBG!V$2:V$33,ROW(F10)-COUNTIF(F$6:F15,"xx")))</f>
        <v>0</v>
      </c>
      <c r="G16" s="6">
        <f>IF(TBG!N$1&gt;=ROW(G16)-6,"xx",INDEX(TBG!W$2:W$33,ROW(G10)-COUNTIF(G$6:G15,"xx")))</f>
        <v>0</v>
      </c>
      <c r="H16" s="6">
        <f>IF(TBG!O$1&gt;=ROW(H16)-6,"xx",INDEX(TBG!X$2:X$33,ROW(H10)-COUNTIF(H$6:H15,"xx")))</f>
        <v>0</v>
      </c>
      <c r="I16" s="6">
        <f>IF(TBG!P$1&gt;=ROW(I16)-6,"xx",INDEX(TBG!Y$2:Y$33,ROW(I10)-COUNTIF(I$6:I15,"xx")))</f>
        <v>0</v>
      </c>
    </row>
    <row r="17" spans="1:9" ht="16.5" x14ac:dyDescent="0.3">
      <c r="A17" s="6">
        <f>IF(TBG!H$1&gt;=ROW(A17)-6,"xx",INDEX(TBG!Q$2:Q$33,ROW(A11)-COUNTIF(A$6:A16,"xx")))</f>
        <v>0</v>
      </c>
      <c r="B17" s="6">
        <f>IF(TBG!I$1&gt;=ROW(B17)-6,"xx",INDEX(TBG!R$2:R$33,ROW(B11)-COUNTIF(B$6:B16,"xx")))</f>
        <v>0</v>
      </c>
      <c r="C17" s="6">
        <f>IF(TBG!J$1&gt;=ROW(C17)-6,"xx",INDEX(TBG!S$2:S$33,ROW(C11)-COUNTIF(C$6:C16,"xx")))</f>
        <v>0</v>
      </c>
      <c r="D17" s="6">
        <f>IF(TBG!K$1&gt;=ROW(D17)-6,"xx",INDEX(TBG!T$2:T$33,ROW(D11)-COUNTIF(D$6:D16,"xx")))</f>
        <v>0</v>
      </c>
      <c r="E17" s="6">
        <f>IF(TBG!L$1&gt;=ROW(E17)-6,"xx",INDEX(TBG!U$2:U$33,ROW(E11)-COUNTIF(E$6:E16,"xx")))</f>
        <v>0</v>
      </c>
      <c r="F17" s="6">
        <f>IF(TBG!M$1&gt;=ROW(F17)-6,"xx",INDEX(TBG!V$2:V$33,ROW(F11)-COUNTIF(F$6:F16,"xx")))</f>
        <v>0</v>
      </c>
      <c r="G17" s="6">
        <f>IF(TBG!N$1&gt;=ROW(G17)-6,"xx",INDEX(TBG!W$2:W$33,ROW(G11)-COUNTIF(G$6:G16,"xx")))</f>
        <v>0</v>
      </c>
      <c r="H17" s="6">
        <f>IF(TBG!O$1&gt;=ROW(H17)-6,"xx",INDEX(TBG!X$2:X$33,ROW(H11)-COUNTIF(H$6:H16,"xx")))</f>
        <v>0</v>
      </c>
      <c r="I17" s="6">
        <f>IF(TBG!P$1&gt;=ROW(I17)-6,"xx",INDEX(TBG!Y$2:Y$33,ROW(I11)-COUNTIF(I$6:I16,"xx")))</f>
        <v>0</v>
      </c>
    </row>
    <row r="18" spans="1:9" ht="16.5" x14ac:dyDescent="0.3">
      <c r="A18" s="6">
        <f>IF(TBG!H$1&gt;=ROW(A18)-6,"xx",INDEX(TBG!Q$2:Q$33,ROW(A12)-COUNTIF(A$6:A17,"xx")))</f>
        <v>0</v>
      </c>
      <c r="B18" s="6">
        <f>IF(TBG!I$1&gt;=ROW(B18)-6,"xx",INDEX(TBG!R$2:R$33,ROW(B12)-COUNTIF(B$6:B17,"xx")))</f>
        <v>0</v>
      </c>
      <c r="C18" s="6">
        <f>IF(TBG!J$1&gt;=ROW(C18)-6,"xx",INDEX(TBG!S$2:S$33,ROW(C12)-COUNTIF(C$6:C17,"xx")))</f>
        <v>0</v>
      </c>
      <c r="D18" s="6">
        <f>IF(TBG!K$1&gt;=ROW(D18)-6,"xx",INDEX(TBG!T$2:T$33,ROW(D12)-COUNTIF(D$6:D17,"xx")))</f>
        <v>0</v>
      </c>
      <c r="E18" s="6">
        <f>IF(TBG!L$1&gt;=ROW(E18)-6,"xx",INDEX(TBG!U$2:U$33,ROW(E12)-COUNTIF(E$6:E17,"xx")))</f>
        <v>0</v>
      </c>
      <c r="F18" s="6">
        <f>IF(TBG!M$1&gt;=ROW(F18)-6,"xx",INDEX(TBG!V$2:V$33,ROW(F12)-COUNTIF(F$6:F17,"xx")))</f>
        <v>0</v>
      </c>
      <c r="G18" s="6">
        <f>IF(TBG!N$1&gt;=ROW(G18)-6,"xx",INDEX(TBG!W$2:W$33,ROW(G12)-COUNTIF(G$6:G17,"xx")))</f>
        <v>0</v>
      </c>
      <c r="H18" s="6">
        <f>IF(TBG!O$1&gt;=ROW(H18)-6,"xx",INDEX(TBG!X$2:X$33,ROW(H12)-COUNTIF(H$6:H17,"xx")))</f>
        <v>0</v>
      </c>
      <c r="I18" s="6">
        <f>IF(TBG!P$1&gt;=ROW(I18)-6,"xx",INDEX(TBG!Y$2:Y$33,ROW(I12)-COUNTIF(I$6:I17,"xx")))</f>
        <v>0</v>
      </c>
    </row>
    <row r="19" spans="1:9" ht="16.5" x14ac:dyDescent="0.3">
      <c r="A19" s="6">
        <f>IF(TBG!H$1&gt;=ROW(A19)-6,"xx",INDEX(TBG!Q$2:Q$33,ROW(A13)-COUNTIF(A$6:A18,"xx")))</f>
        <v>0</v>
      </c>
      <c r="B19" s="6">
        <f>IF(TBG!I$1&gt;=ROW(B19)-6,"xx",INDEX(TBG!R$2:R$33,ROW(B13)-COUNTIF(B$6:B18,"xx")))</f>
        <v>0</v>
      </c>
      <c r="C19" s="6">
        <f>IF(TBG!J$1&gt;=ROW(C19)-6,"xx",INDEX(TBG!S$2:S$33,ROW(C13)-COUNTIF(C$6:C18,"xx")))</f>
        <v>0</v>
      </c>
      <c r="D19" s="6">
        <f>IF(TBG!K$1&gt;=ROW(D19)-6,"xx",INDEX(TBG!T$2:T$33,ROW(D13)-COUNTIF(D$6:D18,"xx")))</f>
        <v>0</v>
      </c>
      <c r="E19" s="6">
        <f>IF(TBG!L$1&gt;=ROW(E19)-6,"xx",INDEX(TBG!U$2:U$33,ROW(E13)-COUNTIF(E$6:E18,"xx")))</f>
        <v>0</v>
      </c>
      <c r="F19" s="6">
        <f>IF(TBG!M$1&gt;=ROW(F19)-6,"xx",INDEX(TBG!V$2:V$33,ROW(F13)-COUNTIF(F$6:F18,"xx")))</f>
        <v>0</v>
      </c>
      <c r="G19" s="6">
        <f>IF(TBG!N$1&gt;=ROW(G19)-6,"xx",INDEX(TBG!W$2:W$33,ROW(G13)-COUNTIF(G$6:G18,"xx")))</f>
        <v>0</v>
      </c>
      <c r="H19" s="6">
        <f>IF(TBG!O$1&gt;=ROW(H19)-6,"xx",INDEX(TBG!X$2:X$33,ROW(H13)-COUNTIF(H$6:H18,"xx")))</f>
        <v>0</v>
      </c>
      <c r="I19" s="6">
        <f>IF(TBG!P$1&gt;=ROW(I19)-6,"xx",INDEX(TBG!Y$2:Y$33,ROW(I13)-COUNTIF(I$6:I18,"xx")))</f>
        <v>0</v>
      </c>
    </row>
    <row r="20" spans="1:9" ht="16.5" x14ac:dyDescent="0.3">
      <c r="A20" s="6">
        <f>IF(TBG!H$1&gt;=ROW(A20)-6,"xx",INDEX(TBG!Q$2:Q$33,ROW(A14)-COUNTIF(A$6:A19,"xx")))</f>
        <v>0</v>
      </c>
      <c r="B20" s="6">
        <f>IF(TBG!I$1&gt;=ROW(B20)-6,"xx",INDEX(TBG!R$2:R$33,ROW(B14)-COUNTIF(B$6:B19,"xx")))</f>
        <v>0</v>
      </c>
      <c r="C20" s="6">
        <f>IF(TBG!J$1&gt;=ROW(C20)-6,"xx",INDEX(TBG!S$2:S$33,ROW(C14)-COUNTIF(C$6:C19,"xx")))</f>
        <v>0</v>
      </c>
      <c r="D20" s="6">
        <f>IF(TBG!K$1&gt;=ROW(D20)-6,"xx",INDEX(TBG!T$2:T$33,ROW(D14)-COUNTIF(D$6:D19,"xx")))</f>
        <v>0</v>
      </c>
      <c r="E20" s="6">
        <f>IF(TBG!L$1&gt;=ROW(E20)-6,"xx",INDEX(TBG!U$2:U$33,ROW(E14)-COUNTIF(E$6:E19,"xx")))</f>
        <v>0</v>
      </c>
      <c r="F20" s="6">
        <f>IF(TBG!M$1&gt;=ROW(F20)-6,"xx",INDEX(TBG!V$2:V$33,ROW(F14)-COUNTIF(F$6:F19,"xx")))</f>
        <v>0</v>
      </c>
      <c r="G20" s="6">
        <f>IF(TBG!N$1&gt;=ROW(G20)-6,"xx",INDEX(TBG!W$2:W$33,ROW(G14)-COUNTIF(G$6:G19,"xx")))</f>
        <v>0</v>
      </c>
      <c r="H20" s="6">
        <f>IF(TBG!O$1&gt;=ROW(H20)-6,"xx",INDEX(TBG!X$2:X$33,ROW(H14)-COUNTIF(H$6:H19,"xx")))</f>
        <v>0</v>
      </c>
      <c r="I20" s="6">
        <f>IF(TBG!P$1&gt;=ROW(I20)-6,"xx",INDEX(TBG!Y$2:Y$33,ROW(I14)-COUNTIF(I$6:I19,"xx")))</f>
        <v>0</v>
      </c>
    </row>
    <row r="21" spans="1:9" ht="16.5" x14ac:dyDescent="0.3">
      <c r="A21" s="6">
        <f>IF(TBG!H$1&gt;=ROW(A21)-6,"xx",INDEX(TBG!Q$2:Q$33,ROW(A15)-COUNTIF(A$6:A20,"xx")))</f>
        <v>0</v>
      </c>
      <c r="B21" s="6">
        <f>IF(TBG!I$1&gt;=ROW(B21)-6,"xx",INDEX(TBG!R$2:R$33,ROW(B15)-COUNTIF(B$6:B20,"xx")))</f>
        <v>0</v>
      </c>
      <c r="C21" s="6">
        <f>IF(TBG!J$1&gt;=ROW(C21)-6,"xx",INDEX(TBG!S$2:S$33,ROW(C15)-COUNTIF(C$6:C20,"xx")))</f>
        <v>0</v>
      </c>
      <c r="D21" s="6">
        <f>IF(TBG!K$1&gt;=ROW(D21)-6,"xx",INDEX(TBG!T$2:T$33,ROW(D15)-COUNTIF(D$6:D20,"xx")))</f>
        <v>0</v>
      </c>
      <c r="E21" s="6">
        <f>IF(TBG!L$1&gt;=ROW(E21)-6,"xx",INDEX(TBG!U$2:U$33,ROW(E15)-COUNTIF(E$6:E20,"xx")))</f>
        <v>0</v>
      </c>
      <c r="F21" s="6">
        <f>IF(TBG!M$1&gt;=ROW(F21)-6,"xx",INDEX(TBG!V$2:V$33,ROW(F15)-COUNTIF(F$6:F20,"xx")))</f>
        <v>0</v>
      </c>
      <c r="G21" s="6">
        <f>IF(TBG!N$1&gt;=ROW(G21)-6,"xx",INDEX(TBG!W$2:W$33,ROW(G15)-COUNTIF(G$6:G20,"xx")))</f>
        <v>0</v>
      </c>
      <c r="H21" s="6">
        <f>IF(TBG!O$1&gt;=ROW(H21)-6,"xx",INDEX(TBG!X$2:X$33,ROW(H15)-COUNTIF(H$6:H20,"xx")))</f>
        <v>0</v>
      </c>
      <c r="I21" s="6">
        <f>IF(TBG!P$1&gt;=ROW(I21)-6,"xx",INDEX(TBG!Y$2:Y$33,ROW(I15)-COUNTIF(I$6:I20,"xx")))</f>
        <v>0</v>
      </c>
    </row>
    <row r="22" spans="1:9" ht="16.5" x14ac:dyDescent="0.3">
      <c r="A22" s="6">
        <f>IF(TBG!H$1&gt;=ROW(A22)-6,"xx",INDEX(TBG!Q$2:Q$33,ROW(A16)-COUNTIF(A$6:A21,"xx")))</f>
        <v>0</v>
      </c>
      <c r="B22" s="6">
        <f>IF(TBG!I$1&gt;=ROW(B22)-6,"xx",INDEX(TBG!R$2:R$33,ROW(B16)-COUNTIF(B$6:B21,"xx")))</f>
        <v>0</v>
      </c>
      <c r="C22" s="6">
        <f>IF(TBG!J$1&gt;=ROW(C22)-6,"xx",INDEX(TBG!S$2:S$33,ROW(C16)-COUNTIF(C$6:C21,"xx")))</f>
        <v>0</v>
      </c>
      <c r="D22" s="6">
        <f>IF(TBG!K$1&gt;=ROW(D22)-6,"xx",INDEX(TBG!T$2:T$33,ROW(D16)-COUNTIF(D$6:D21,"xx")))</f>
        <v>0</v>
      </c>
      <c r="E22" s="6">
        <f>IF(TBG!L$1&gt;=ROW(E22)-6,"xx",INDEX(TBG!U$2:U$33,ROW(E16)-COUNTIF(E$6:E21,"xx")))</f>
        <v>0</v>
      </c>
      <c r="F22" s="6">
        <f>IF(TBG!M$1&gt;=ROW(F22)-6,"xx",INDEX(TBG!V$2:V$33,ROW(F16)-COUNTIF(F$6:F21,"xx")))</f>
        <v>0</v>
      </c>
      <c r="G22" s="6">
        <f>IF(TBG!N$1&gt;=ROW(G22)-6,"xx",INDEX(TBG!W$2:W$33,ROW(G16)-COUNTIF(G$6:G21,"xx")))</f>
        <v>0</v>
      </c>
      <c r="H22" s="6">
        <f>IF(TBG!O$1&gt;=ROW(H22)-6,"xx",INDEX(TBG!X$2:X$33,ROW(H16)-COUNTIF(H$6:H21,"xx")))</f>
        <v>0</v>
      </c>
      <c r="I22" s="6">
        <f>IF(TBG!P$1&gt;=ROW(I22)-6,"xx",INDEX(TBG!Y$2:Y$33,ROW(I16)-COUNTIF(I$6:I21,"xx")))</f>
        <v>0</v>
      </c>
    </row>
    <row r="23" spans="1:9" ht="16.5" x14ac:dyDescent="0.3">
      <c r="A23" s="6">
        <f>IF(TBG!H$1&gt;=ROW(A23)-6,"xx",INDEX(TBG!Q$2:Q$33,ROW(A17)-COUNTIF(A$6:A22,"xx")))</f>
        <v>0</v>
      </c>
      <c r="B23" s="6">
        <f>IF(TBG!I$1&gt;=ROW(B23)-6,"xx",INDEX(TBG!R$2:R$33,ROW(B17)-COUNTIF(B$6:B22,"xx")))</f>
        <v>0</v>
      </c>
      <c r="C23" s="6">
        <f>IF(TBG!J$1&gt;=ROW(C23)-6,"xx",INDEX(TBG!S$2:S$33,ROW(C17)-COUNTIF(C$6:C22,"xx")))</f>
        <v>0</v>
      </c>
      <c r="D23" s="6">
        <f>IF(TBG!K$1&gt;=ROW(D23)-6,"xx",INDEX(TBG!T$2:T$33,ROW(D17)-COUNTIF(D$6:D22,"xx")))</f>
        <v>0</v>
      </c>
      <c r="E23" s="6">
        <f>IF(TBG!L$1&gt;=ROW(E23)-6,"xx",INDEX(TBG!U$2:U$33,ROW(E17)-COUNTIF(E$6:E22,"xx")))</f>
        <v>0</v>
      </c>
      <c r="F23" s="6">
        <f>IF(TBG!M$1&gt;=ROW(F23)-6,"xx",INDEX(TBG!V$2:V$33,ROW(F17)-COUNTIF(F$6:F22,"xx")))</f>
        <v>0</v>
      </c>
      <c r="G23" s="6">
        <f>IF(TBG!N$1&gt;=ROW(G23)-6,"xx",INDEX(TBG!W$2:W$33,ROW(G17)-COUNTIF(G$6:G22,"xx")))</f>
        <v>0</v>
      </c>
      <c r="H23" s="6">
        <f>IF(TBG!O$1&gt;=ROW(H23)-6,"xx",INDEX(TBG!X$2:X$33,ROW(H17)-COUNTIF(H$6:H22,"xx")))</f>
        <v>0</v>
      </c>
      <c r="I23" s="6">
        <f>IF(TBG!P$1&gt;=ROW(I23)-6,"xx",INDEX(TBG!Y$2:Y$33,ROW(I17)-COUNTIF(I$6:I22,"xx")))</f>
        <v>0</v>
      </c>
    </row>
    <row r="24" spans="1:9" ht="16.5" x14ac:dyDescent="0.3">
      <c r="A24" s="6">
        <f>IF(TBG!H$1&gt;=ROW(A24)-6,"xx",INDEX(TBG!Q$2:Q$33,ROW(A18)-COUNTIF(A$6:A23,"xx")))</f>
        <v>0</v>
      </c>
      <c r="B24" s="6">
        <f>IF(TBG!I$1&gt;=ROW(B24)-6,"xx",INDEX(TBG!R$2:R$33,ROW(B18)-COUNTIF(B$6:B23,"xx")))</f>
        <v>0</v>
      </c>
      <c r="C24" s="6">
        <f>IF(TBG!J$1&gt;=ROW(C24)-6,"xx",INDEX(TBG!S$2:S$33,ROW(C18)-COUNTIF(C$6:C23,"xx")))</f>
        <v>0</v>
      </c>
      <c r="D24" s="6">
        <f>IF(TBG!K$1&gt;=ROW(D24)-6,"xx",INDEX(TBG!T$2:T$33,ROW(D18)-COUNTIF(D$6:D23,"xx")))</f>
        <v>0</v>
      </c>
      <c r="E24" s="6">
        <f>IF(TBG!L$1&gt;=ROW(E24)-6,"xx",INDEX(TBG!U$2:U$33,ROW(E18)-COUNTIF(E$6:E23,"xx")))</f>
        <v>0</v>
      </c>
      <c r="F24" s="6">
        <f>IF(TBG!M$1&gt;=ROW(F24)-6,"xx",INDEX(TBG!V$2:V$33,ROW(F18)-COUNTIF(F$6:F23,"xx")))</f>
        <v>0</v>
      </c>
      <c r="G24" s="6">
        <f>IF(TBG!N$1&gt;=ROW(G24)-6,"xx",INDEX(TBG!W$2:W$33,ROW(G18)-COUNTIF(G$6:G23,"xx")))</f>
        <v>0</v>
      </c>
      <c r="H24" s="6">
        <f>IF(TBG!O$1&gt;=ROW(H24)-6,"xx",INDEX(TBG!X$2:X$33,ROW(H18)-COUNTIF(H$6:H23,"xx")))</f>
        <v>0</v>
      </c>
      <c r="I24" s="6">
        <f>IF(TBG!P$1&gt;=ROW(I24)-6,"xx",INDEX(TBG!Y$2:Y$33,ROW(I18)-COUNTIF(I$6:I23,"xx")))</f>
        <v>0</v>
      </c>
    </row>
    <row r="25" spans="1:9" ht="16.5" x14ac:dyDescent="0.3">
      <c r="A25" s="6">
        <f>IF(TBG!H$1&gt;=ROW(A25)-6,"xx",INDEX(TBG!Q$2:Q$33,ROW(A19)-COUNTIF(A$6:A24,"xx")))</f>
        <v>0</v>
      </c>
      <c r="B25" s="6">
        <f>IF(TBG!I$1&gt;=ROW(B25)-6,"xx",INDEX(TBG!R$2:R$33,ROW(B19)-COUNTIF(B$6:B24,"xx")))</f>
        <v>0</v>
      </c>
      <c r="C25" s="6">
        <f>IF(TBG!J$1&gt;=ROW(C25)-6,"xx",INDEX(TBG!S$2:S$33,ROW(C19)-COUNTIF(C$6:C24,"xx")))</f>
        <v>0</v>
      </c>
      <c r="D25" s="6">
        <f>IF(TBG!K$1&gt;=ROW(D25)-6,"xx",INDEX(TBG!T$2:T$33,ROW(D19)-COUNTIF(D$6:D24,"xx")))</f>
        <v>0</v>
      </c>
      <c r="E25" s="6">
        <f>IF(TBG!L$1&gt;=ROW(E25)-6,"xx",INDEX(TBG!U$2:U$33,ROW(E19)-COUNTIF(E$6:E24,"xx")))</f>
        <v>0</v>
      </c>
      <c r="F25" s="6">
        <f>IF(TBG!M$1&gt;=ROW(F25)-6,"xx",INDEX(TBG!V$2:V$33,ROW(F19)-COUNTIF(F$6:F24,"xx")))</f>
        <v>0</v>
      </c>
      <c r="G25" s="6">
        <f>IF(TBG!N$1&gt;=ROW(G25)-6,"xx",INDEX(TBG!W$2:W$33,ROW(G19)-COUNTIF(G$6:G24,"xx")))</f>
        <v>0</v>
      </c>
      <c r="H25" s="6">
        <f>IF(TBG!O$1&gt;=ROW(H25)-6,"xx",INDEX(TBG!X$2:X$33,ROW(H19)-COUNTIF(H$6:H24,"xx")))</f>
        <v>0</v>
      </c>
      <c r="I25" s="6">
        <f>IF(TBG!P$1&gt;=ROW(I25)-6,"xx",INDEX(TBG!Y$2:Y$33,ROW(I19)-COUNTIF(I$6:I24,"xx")))</f>
        <v>0</v>
      </c>
    </row>
    <row r="26" spans="1:9" ht="16.5" x14ac:dyDescent="0.3">
      <c r="A26" s="6">
        <f>IF(TBG!H$1&gt;=ROW(A26)-6,"xx",INDEX(TBG!Q$2:Q$33,ROW(A20)-COUNTIF(A$6:A25,"xx")))</f>
        <v>0</v>
      </c>
      <c r="B26" s="6">
        <f>IF(TBG!I$1&gt;=ROW(B26)-6,"xx",INDEX(TBG!R$2:R$33,ROW(B20)-COUNTIF(B$6:B25,"xx")))</f>
        <v>0</v>
      </c>
      <c r="C26" s="6">
        <f>IF(TBG!J$1&gt;=ROW(C26)-6,"xx",INDEX(TBG!S$2:S$33,ROW(C20)-COUNTIF(C$6:C25,"xx")))</f>
        <v>0</v>
      </c>
      <c r="D26" s="6">
        <f>IF(TBG!K$1&gt;=ROW(D26)-6,"xx",INDEX(TBG!T$2:T$33,ROW(D20)-COUNTIF(D$6:D25,"xx")))</f>
        <v>0</v>
      </c>
      <c r="E26" s="6">
        <f>IF(TBG!L$1&gt;=ROW(E26)-6,"xx",INDEX(TBG!U$2:U$33,ROW(E20)-COUNTIF(E$6:E25,"xx")))</f>
        <v>0</v>
      </c>
      <c r="F26" s="6">
        <f>IF(TBG!M$1&gt;=ROW(F26)-6,"xx",INDEX(TBG!V$2:V$33,ROW(F20)-COUNTIF(F$6:F25,"xx")))</f>
        <v>0</v>
      </c>
      <c r="G26" s="6">
        <f>IF(TBG!N$1&gt;=ROW(G26)-6,"xx",INDEX(TBG!W$2:W$33,ROW(G20)-COUNTIF(G$6:G25,"xx")))</f>
        <v>0</v>
      </c>
      <c r="H26" s="6">
        <f>IF(TBG!O$1&gt;=ROW(H26)-6,"xx",INDEX(TBG!X$2:X$33,ROW(H20)-COUNTIF(H$6:H25,"xx")))</f>
        <v>0</v>
      </c>
      <c r="I26" s="6">
        <f>IF(TBG!P$1&gt;=ROW(I26)-6,"xx",INDEX(TBG!Y$2:Y$33,ROW(I20)-COUNTIF(I$6:I25,"xx")))</f>
        <v>0</v>
      </c>
    </row>
    <row r="27" spans="1:9" ht="16.5" x14ac:dyDescent="0.3">
      <c r="A27" s="6">
        <f>IF(TBG!H$1&gt;=ROW(A27)-6,"xx",INDEX(TBG!Q$2:Q$33,ROW(A21)-COUNTIF(A$6:A26,"xx")))</f>
        <v>0</v>
      </c>
      <c r="B27" s="6">
        <f>IF(TBG!I$1&gt;=ROW(B27)-6,"xx",INDEX(TBG!R$2:R$33,ROW(B21)-COUNTIF(B$6:B26,"xx")))</f>
        <v>0</v>
      </c>
      <c r="C27" s="6">
        <f>IF(TBG!J$1&gt;=ROW(C27)-6,"xx",INDEX(TBG!S$2:S$33,ROW(C21)-COUNTIF(C$6:C26,"xx")))</f>
        <v>0</v>
      </c>
      <c r="D27" s="6">
        <f>IF(TBG!K$1&gt;=ROW(D27)-6,"xx",INDEX(TBG!T$2:T$33,ROW(D21)-COUNTIF(D$6:D26,"xx")))</f>
        <v>0</v>
      </c>
      <c r="E27" s="6">
        <f>IF(TBG!L$1&gt;=ROW(E27)-6,"xx",INDEX(TBG!U$2:U$33,ROW(E21)-COUNTIF(E$6:E26,"xx")))</f>
        <v>0</v>
      </c>
      <c r="F27" s="6">
        <f>IF(TBG!M$1&gt;=ROW(F27)-6,"xx",INDEX(TBG!V$2:V$33,ROW(F21)-COUNTIF(F$6:F26,"xx")))</f>
        <v>0</v>
      </c>
      <c r="G27" s="6">
        <f>IF(TBG!N$1&gt;=ROW(G27)-6,"xx",INDEX(TBG!W$2:W$33,ROW(G21)-COUNTIF(G$6:G26,"xx")))</f>
        <v>0</v>
      </c>
      <c r="H27" s="6">
        <f>IF(TBG!O$1&gt;=ROW(H27)-6,"xx",INDEX(TBG!X$2:X$33,ROW(H21)-COUNTIF(H$6:H26,"xx")))</f>
        <v>0</v>
      </c>
      <c r="I27" s="6">
        <f>IF(TBG!P$1&gt;=ROW(I27)-6,"xx",INDEX(TBG!Y$2:Y$33,ROW(I21)-COUNTIF(I$6:I26,"xx")))</f>
        <v>0</v>
      </c>
    </row>
    <row r="28" spans="1:9" ht="16.5" x14ac:dyDescent="0.3">
      <c r="A28" s="6">
        <f>IF(TBG!H$1&gt;=ROW(A28)-6,"xx",INDEX(TBG!Q$2:Q$33,ROW(A22)-COUNTIF(A$6:A27,"xx")))</f>
        <v>0</v>
      </c>
      <c r="B28" s="6">
        <f>IF(TBG!I$1&gt;=ROW(B28)-6,"xx",INDEX(TBG!R$2:R$33,ROW(B22)-COUNTIF(B$6:B27,"xx")))</f>
        <v>0</v>
      </c>
      <c r="C28" s="6">
        <f>IF(TBG!J$1&gt;=ROW(C28)-6,"xx",INDEX(TBG!S$2:S$33,ROW(C22)-COUNTIF(C$6:C27,"xx")))</f>
        <v>0</v>
      </c>
      <c r="D28" s="6">
        <f>IF(TBG!K$1&gt;=ROW(D28)-6,"xx",INDEX(TBG!T$2:T$33,ROW(D22)-COUNTIF(D$6:D27,"xx")))</f>
        <v>0</v>
      </c>
      <c r="E28" s="6">
        <f>IF(TBG!L$1&gt;=ROW(E28)-6,"xx",INDEX(TBG!U$2:U$33,ROW(E22)-COUNTIF(E$6:E27,"xx")))</f>
        <v>0</v>
      </c>
      <c r="F28" s="6">
        <f>IF(TBG!M$1&gt;=ROW(F28)-6,"xx",INDEX(TBG!V$2:V$33,ROW(F22)-COUNTIF(F$6:F27,"xx")))</f>
        <v>0</v>
      </c>
      <c r="G28" s="6">
        <f>IF(TBG!N$1&gt;=ROW(G28)-6,"xx",INDEX(TBG!W$2:W$33,ROW(G22)-COUNTIF(G$6:G27,"xx")))</f>
        <v>0</v>
      </c>
      <c r="H28" s="6">
        <f>IF(TBG!O$1&gt;=ROW(H28)-6,"xx",INDEX(TBG!X$2:X$33,ROW(H22)-COUNTIF(H$6:H27,"xx")))</f>
        <v>0</v>
      </c>
      <c r="I28" s="6">
        <f>IF(TBG!P$1&gt;=ROW(I28)-6,"xx",INDEX(TBG!Y$2:Y$33,ROW(I22)-COUNTIF(I$6:I27,"xx")))</f>
        <v>0</v>
      </c>
    </row>
    <row r="29" spans="1:9" ht="16.5" x14ac:dyDescent="0.3">
      <c r="A29" s="6">
        <f>IF(TBG!H$1&gt;=ROW(A29)-6,"xx",INDEX(TBG!Q$2:Q$33,ROW(A23)-COUNTIF(A$6:A28,"xx")))</f>
        <v>0</v>
      </c>
      <c r="B29" s="6">
        <f>IF(TBG!I$1&gt;=ROW(B29)-6,"xx",INDEX(TBG!R$2:R$33,ROW(B23)-COUNTIF(B$6:B28,"xx")))</f>
        <v>0</v>
      </c>
      <c r="C29" s="6">
        <f>IF(TBG!J$1&gt;=ROW(C29)-6,"xx",INDEX(TBG!S$2:S$33,ROW(C23)-COUNTIF(C$6:C28,"xx")))</f>
        <v>0</v>
      </c>
      <c r="D29" s="6">
        <f>IF(TBG!K$1&gt;=ROW(D29)-6,"xx",INDEX(TBG!T$2:T$33,ROW(D23)-COUNTIF(D$6:D28,"xx")))</f>
        <v>0</v>
      </c>
      <c r="E29" s="6">
        <f>IF(TBG!L$1&gt;=ROW(E29)-6,"xx",INDEX(TBG!U$2:U$33,ROW(E23)-COUNTIF(E$6:E28,"xx")))</f>
        <v>0</v>
      </c>
      <c r="F29" s="6">
        <f>IF(TBG!M$1&gt;=ROW(F29)-6,"xx",INDEX(TBG!V$2:V$33,ROW(F23)-COUNTIF(F$6:F28,"xx")))</f>
        <v>0</v>
      </c>
      <c r="G29" s="6">
        <f>IF(TBG!N$1&gt;=ROW(G29)-6,"xx",INDEX(TBG!W$2:W$33,ROW(G23)-COUNTIF(G$6:G28,"xx")))</f>
        <v>0</v>
      </c>
      <c r="H29" s="6">
        <f>IF(TBG!O$1&gt;=ROW(H29)-6,"xx",INDEX(TBG!X$2:X$33,ROW(H23)-COUNTIF(H$6:H28,"xx")))</f>
        <v>0</v>
      </c>
      <c r="I29" s="6">
        <f>IF(TBG!P$1&gt;=ROW(I29)-6,"xx",INDEX(TBG!Y$2:Y$33,ROW(I23)-COUNTIF(I$6:I28,"xx")))</f>
        <v>0</v>
      </c>
    </row>
    <row r="30" spans="1:9" ht="16.5" x14ac:dyDescent="0.3">
      <c r="A30" s="6">
        <f>IF(TBG!H$1&gt;=ROW(A30)-6,"xx",INDEX(TBG!Q$2:Q$33,ROW(A24)-COUNTIF(A$6:A29,"xx")))</f>
        <v>0</v>
      </c>
      <c r="B30" s="6">
        <f>IF(TBG!I$1&gt;=ROW(B30)-6,"xx",INDEX(TBG!R$2:R$33,ROW(B24)-COUNTIF(B$6:B29,"xx")))</f>
        <v>0</v>
      </c>
      <c r="C30" s="6">
        <f>IF(TBG!J$1&gt;=ROW(C30)-6,"xx",INDEX(TBG!S$2:S$33,ROW(C24)-COUNTIF(C$6:C29,"xx")))</f>
        <v>0</v>
      </c>
      <c r="D30" s="6">
        <f>IF(TBG!K$1&gt;=ROW(D30)-6,"xx",INDEX(TBG!T$2:T$33,ROW(D24)-COUNTIF(D$6:D29,"xx")))</f>
        <v>0</v>
      </c>
      <c r="E30" s="6">
        <f>IF(TBG!L$1&gt;=ROW(E30)-6,"xx",INDEX(TBG!U$2:U$33,ROW(E24)-COUNTIF(E$6:E29,"xx")))</f>
        <v>0</v>
      </c>
      <c r="F30" s="6">
        <f>IF(TBG!M$1&gt;=ROW(F30)-6,"xx",INDEX(TBG!V$2:V$33,ROW(F24)-COUNTIF(F$6:F29,"xx")))</f>
        <v>0</v>
      </c>
      <c r="G30" s="6">
        <f>IF(TBG!N$1&gt;=ROW(G30)-6,"xx",INDEX(TBG!W$2:W$33,ROW(G24)-COUNTIF(G$6:G29,"xx")))</f>
        <v>0</v>
      </c>
      <c r="H30" s="6">
        <f>IF(TBG!O$1&gt;=ROW(H30)-6,"xx",INDEX(TBG!X$2:X$33,ROW(H24)-COUNTIF(H$6:H29,"xx")))</f>
        <v>0</v>
      </c>
      <c r="I30" s="6">
        <f>IF(TBG!P$1&gt;=ROW(I30)-6,"xx",INDEX(TBG!Y$2:Y$33,ROW(I24)-COUNTIF(I$6:I29,"xx")))</f>
        <v>0</v>
      </c>
    </row>
    <row r="31" spans="1:9" ht="16.5" x14ac:dyDescent="0.3">
      <c r="A31" s="6">
        <f>IF(TBG!H$1&gt;=ROW(A31)-6,"xx",INDEX(TBG!Q$2:Q$33,ROW(A25)-COUNTIF(A$6:A30,"xx")))</f>
        <v>0</v>
      </c>
      <c r="B31" s="6">
        <f>IF(TBG!I$1&gt;=ROW(B31)-6,"xx",INDEX(TBG!R$2:R$33,ROW(B25)-COUNTIF(B$6:B30,"xx")))</f>
        <v>0</v>
      </c>
      <c r="C31" s="6">
        <f>IF(TBG!J$1&gt;=ROW(C31)-6,"xx",INDEX(TBG!S$2:S$33,ROW(C25)-COUNTIF(C$6:C30,"xx")))</f>
        <v>0</v>
      </c>
      <c r="D31" s="6">
        <f>IF(TBG!K$1&gt;=ROW(D31)-6,"xx",INDEX(TBG!T$2:T$33,ROW(D25)-COUNTIF(D$6:D30,"xx")))</f>
        <v>0</v>
      </c>
      <c r="E31" s="6">
        <f>IF(TBG!L$1&gt;=ROW(E31)-6,"xx",INDEX(TBG!U$2:U$33,ROW(E25)-COUNTIF(E$6:E30,"xx")))</f>
        <v>0</v>
      </c>
      <c r="F31" s="6">
        <f>IF(TBG!M$1&gt;=ROW(F31)-6,"xx",INDEX(TBG!V$2:V$33,ROW(F25)-COUNTIF(F$6:F30,"xx")))</f>
        <v>0</v>
      </c>
      <c r="G31" s="6">
        <f>IF(TBG!N$1&gt;=ROW(G31)-6,"xx",INDEX(TBG!W$2:W$33,ROW(G25)-COUNTIF(G$6:G30,"xx")))</f>
        <v>0</v>
      </c>
      <c r="H31" s="6">
        <f>IF(TBG!O$1&gt;=ROW(H31)-6,"xx",INDEX(TBG!X$2:X$33,ROW(H25)-COUNTIF(H$6:H30,"xx")))</f>
        <v>0</v>
      </c>
      <c r="I31" s="6">
        <f>IF(TBG!P$1&gt;=ROW(I31)-6,"xx",INDEX(TBG!Y$2:Y$33,ROW(I25)-COUNTIF(I$6:I30,"xx")))</f>
        <v>0</v>
      </c>
    </row>
    <row r="32" spans="1:9" ht="16.5" x14ac:dyDescent="0.3">
      <c r="A32" s="6">
        <f>IF(TBG!H$1&gt;=ROW(A32)-6,"xx",INDEX(TBG!Q$2:Q$33,ROW(A26)-COUNTIF(A$6:A31,"xx")))</f>
        <v>0</v>
      </c>
      <c r="B32" s="6">
        <f>IF(TBG!I$1&gt;=ROW(B32)-6,"xx",INDEX(TBG!R$2:R$33,ROW(B26)-COUNTIF(B$6:B31,"xx")))</f>
        <v>0</v>
      </c>
      <c r="C32" s="6">
        <f>IF(TBG!J$1&gt;=ROW(C32)-6,"xx",INDEX(TBG!S$2:S$33,ROW(C26)-COUNTIF(C$6:C31,"xx")))</f>
        <v>0</v>
      </c>
      <c r="D32" s="6">
        <f>IF(TBG!K$1&gt;=ROW(D32)-6,"xx",INDEX(TBG!T$2:T$33,ROW(D26)-COUNTIF(D$6:D31,"xx")))</f>
        <v>0</v>
      </c>
      <c r="E32" s="6">
        <f>IF(TBG!L$1&gt;=ROW(E32)-6,"xx",INDEX(TBG!U$2:U$33,ROW(E26)-COUNTIF(E$6:E31,"xx")))</f>
        <v>0</v>
      </c>
      <c r="F32" s="6">
        <f>IF(TBG!M$1&gt;=ROW(F32)-6,"xx",INDEX(TBG!V$2:V$33,ROW(F26)-COUNTIF(F$6:F31,"xx")))</f>
        <v>0</v>
      </c>
      <c r="G32" s="6">
        <f>IF(TBG!N$1&gt;=ROW(G32)-6,"xx",INDEX(TBG!W$2:W$33,ROW(G26)-COUNTIF(G$6:G31,"xx")))</f>
        <v>0</v>
      </c>
      <c r="H32" s="6">
        <f>IF(TBG!O$1&gt;=ROW(H32)-6,"xx",INDEX(TBG!X$2:X$33,ROW(H26)-COUNTIF(H$6:H31,"xx")))</f>
        <v>0</v>
      </c>
      <c r="I32" s="6">
        <f>IF(TBG!P$1&gt;=ROW(I32)-6,"xx",INDEX(TBG!Y$2:Y$33,ROW(I26)-COUNTIF(I$6:I31,"xx")))</f>
        <v>0</v>
      </c>
    </row>
    <row r="33" spans="1:9" ht="16.5" x14ac:dyDescent="0.3">
      <c r="A33" s="6">
        <f>IF(TBG!H$1&gt;=ROW(A33)-6,"xx",INDEX(TBG!Q$2:Q$33,ROW(A27)-COUNTIF(A$6:A32,"xx")))</f>
        <v>0</v>
      </c>
      <c r="B33" s="6">
        <f>IF(TBG!I$1&gt;=ROW(B33)-6,"xx",INDEX(TBG!R$2:R$33,ROW(B27)-COUNTIF(B$6:B32,"xx")))</f>
        <v>0</v>
      </c>
      <c r="C33" s="6">
        <f>IF(TBG!J$1&gt;=ROW(C33)-6,"xx",INDEX(TBG!S$2:S$33,ROW(C27)-COUNTIF(C$6:C32,"xx")))</f>
        <v>0</v>
      </c>
      <c r="D33" s="6">
        <f>IF(TBG!K$1&gt;=ROW(D33)-6,"xx",INDEX(TBG!T$2:T$33,ROW(D27)-COUNTIF(D$6:D32,"xx")))</f>
        <v>0</v>
      </c>
      <c r="E33" s="6">
        <f>IF(TBG!L$1&gt;=ROW(E33)-6,"xx",INDEX(TBG!U$2:U$33,ROW(E27)-COUNTIF(E$6:E32,"xx")))</f>
        <v>0</v>
      </c>
      <c r="F33" s="6">
        <f>IF(TBG!M$1&gt;=ROW(F33)-6,"xx",INDEX(TBG!V$2:V$33,ROW(F27)-COUNTIF(F$6:F32,"xx")))</f>
        <v>0</v>
      </c>
      <c r="G33" s="6">
        <f>IF(TBG!N$1&gt;=ROW(G33)-6,"xx",INDEX(TBG!W$2:W$33,ROW(G27)-COUNTIF(G$6:G32,"xx")))</f>
        <v>0</v>
      </c>
      <c r="H33" s="6">
        <f>IF(TBG!O$1&gt;=ROW(H33)-6,"xx",INDEX(TBG!X$2:X$33,ROW(H27)-COUNTIF(H$6:H32,"xx")))</f>
        <v>0</v>
      </c>
      <c r="I33" s="6">
        <f>IF(TBG!P$1&gt;=ROW(I33)-6,"xx",INDEX(TBG!Y$2:Y$33,ROW(I27)-COUNTIF(I$6:I32,"xx")))</f>
        <v>0</v>
      </c>
    </row>
    <row r="34" spans="1:9" ht="16.5" x14ac:dyDescent="0.3">
      <c r="A34" s="6">
        <f>IF(TBG!H$1&gt;=ROW(A34)-6,"xx",INDEX(TBG!Q$2:Q$33,ROW(A28)-COUNTIF(A$6:A33,"xx")))</f>
        <v>0</v>
      </c>
      <c r="B34" s="6">
        <f>IF(TBG!I$1&gt;=ROW(B34)-6,"xx",INDEX(TBG!R$2:R$33,ROW(B28)-COUNTIF(B$6:B33,"xx")))</f>
        <v>0</v>
      </c>
      <c r="C34" s="6">
        <f>IF(TBG!J$1&gt;=ROW(C34)-6,"xx",INDEX(TBG!S$2:S$33,ROW(C28)-COUNTIF(C$6:C33,"xx")))</f>
        <v>0</v>
      </c>
      <c r="D34" s="6">
        <f>IF(TBG!K$1&gt;=ROW(D34)-6,"xx",INDEX(TBG!T$2:T$33,ROW(D28)-COUNTIF(D$6:D33,"xx")))</f>
        <v>0</v>
      </c>
      <c r="E34" s="6">
        <f>IF(TBG!L$1&gt;=ROW(E34)-6,"xx",INDEX(TBG!U$2:U$33,ROW(E28)-COUNTIF(E$6:E33,"xx")))</f>
        <v>0</v>
      </c>
      <c r="F34" s="6">
        <f>IF(TBG!M$1&gt;=ROW(F34)-6,"xx",INDEX(TBG!V$2:V$33,ROW(F28)-COUNTIF(F$6:F33,"xx")))</f>
        <v>0</v>
      </c>
      <c r="G34" s="6">
        <f>IF(TBG!N$1&gt;=ROW(G34)-6,"xx",INDEX(TBG!W$2:W$33,ROW(G28)-COUNTIF(G$6:G33,"xx")))</f>
        <v>0</v>
      </c>
      <c r="H34" s="6">
        <f>IF(TBG!O$1&gt;=ROW(H34)-6,"xx",INDEX(TBG!X$2:X$33,ROW(H28)-COUNTIF(H$6:H33,"xx")))</f>
        <v>0</v>
      </c>
      <c r="I34" s="6">
        <f>IF(TBG!P$1&gt;=ROW(I34)-6,"xx",INDEX(TBG!Y$2:Y$33,ROW(I28)-COUNTIF(I$6:I33,"xx")))</f>
        <v>0</v>
      </c>
    </row>
    <row r="35" spans="1:9" ht="16.5" x14ac:dyDescent="0.3">
      <c r="A35" s="6">
        <f>IF(TBG!H$1&gt;=ROW(A35)-6,"xx",INDEX(TBG!Q$2:Q$33,ROW(A29)-COUNTIF(A$6:A34,"xx")))</f>
        <v>0</v>
      </c>
      <c r="B35" s="6">
        <f>IF(TBG!I$1&gt;=ROW(B35)-6,"xx",INDEX(TBG!R$2:R$33,ROW(B29)-COUNTIF(B$6:B34,"xx")))</f>
        <v>0</v>
      </c>
      <c r="C35" s="6">
        <f>IF(TBG!J$1&gt;=ROW(C35)-6,"xx",INDEX(TBG!S$2:S$33,ROW(C29)-COUNTIF(C$6:C34,"xx")))</f>
        <v>0</v>
      </c>
      <c r="D35" s="6">
        <f>IF(TBG!K$1&gt;=ROW(D35)-6,"xx",INDEX(TBG!T$2:T$33,ROW(D29)-COUNTIF(D$6:D34,"xx")))</f>
        <v>0</v>
      </c>
      <c r="E35" s="6">
        <f>IF(TBG!L$1&gt;=ROW(E35)-6,"xx",INDEX(TBG!U$2:U$33,ROW(E29)-COUNTIF(E$6:E34,"xx")))</f>
        <v>0</v>
      </c>
      <c r="F35" s="6">
        <f>IF(TBG!M$1&gt;=ROW(F35)-6,"xx",INDEX(TBG!V$2:V$33,ROW(F29)-COUNTIF(F$6:F34,"xx")))</f>
        <v>0</v>
      </c>
      <c r="G35" s="6">
        <f>IF(TBG!N$1&gt;=ROW(G35)-6,"xx",INDEX(TBG!W$2:W$33,ROW(G29)-COUNTIF(G$6:G34,"xx")))</f>
        <v>0</v>
      </c>
      <c r="H35" s="6">
        <f>IF(TBG!O$1&gt;=ROW(H35)-6,"xx",INDEX(TBG!X$2:X$33,ROW(H29)-COUNTIF(H$6:H34,"xx")))</f>
        <v>0</v>
      </c>
      <c r="I35" s="6">
        <f>IF(TBG!P$1&gt;=ROW(I35)-6,"xx",INDEX(TBG!Y$2:Y$33,ROW(I29)-COUNTIF(I$6:I34,"xx")))</f>
        <v>0</v>
      </c>
    </row>
    <row r="36" spans="1:9" ht="16.5" x14ac:dyDescent="0.3">
      <c r="A36" s="6">
        <f>IF(TBG!H$1&gt;=ROW(A36)-6,"xx",INDEX(TBG!Q$2:Q$33,ROW(A30)-COUNTIF(A$6:A35,"xx")))</f>
        <v>0</v>
      </c>
      <c r="B36" s="6">
        <f>IF(TBG!I$1&gt;=ROW(B36)-6,"xx",INDEX(TBG!R$2:R$33,ROW(B30)-COUNTIF(B$6:B35,"xx")))</f>
        <v>0</v>
      </c>
      <c r="C36" s="6">
        <f>IF(TBG!J$1&gt;=ROW(C36)-6,"xx",INDEX(TBG!S$2:S$33,ROW(C30)-COUNTIF(C$6:C35,"xx")))</f>
        <v>0</v>
      </c>
      <c r="D36" s="6">
        <f>IF(TBG!K$1&gt;=ROW(D36)-6,"xx",INDEX(TBG!T$2:T$33,ROW(D30)-COUNTIF(D$6:D35,"xx")))</f>
        <v>0</v>
      </c>
      <c r="E36" s="6">
        <f>IF(TBG!L$1&gt;=ROW(E36)-6,"xx",INDEX(TBG!U$2:U$33,ROW(E30)-COUNTIF(E$6:E35,"xx")))</f>
        <v>0</v>
      </c>
      <c r="F36" s="6">
        <f>IF(TBG!M$1&gt;=ROW(F36)-6,"xx",INDEX(TBG!V$2:V$33,ROW(F30)-COUNTIF(F$6:F35,"xx")))</f>
        <v>0</v>
      </c>
      <c r="G36" s="6">
        <f>IF(TBG!N$1&gt;=ROW(G36)-6,"xx",INDEX(TBG!W$2:W$33,ROW(G30)-COUNTIF(G$6:G35,"xx")))</f>
        <v>0</v>
      </c>
      <c r="H36" s="6">
        <f>IF(TBG!O$1&gt;=ROW(H36)-6,"xx",INDEX(TBG!X$2:X$33,ROW(H30)-COUNTIF(H$6:H35,"xx")))</f>
        <v>0</v>
      </c>
      <c r="I36" s="6">
        <f>IF(TBG!P$1&gt;=ROW(I36)-6,"xx",INDEX(TBG!Y$2:Y$33,ROW(I30)-COUNTIF(I$6:I35,"xx")))</f>
        <v>0</v>
      </c>
    </row>
    <row r="37" spans="1:9" ht="16.5" x14ac:dyDescent="0.3">
      <c r="A37" s="6">
        <f>IF(TBG!H$1&gt;=ROW(A37)-6,"xx",INDEX(TBG!Q$2:Q$33,ROW(A31)-COUNTIF(A$6:A36,"xx")))</f>
        <v>0</v>
      </c>
      <c r="B37" s="6">
        <f>IF(TBG!I$1&gt;=ROW(B37)-6,"xx",INDEX(TBG!R$2:R$33,ROW(B31)-COUNTIF(B$6:B36,"xx")))</f>
        <v>0</v>
      </c>
      <c r="C37" s="6">
        <f>IF(TBG!J$1&gt;=ROW(C37)-6,"xx",INDEX(TBG!S$2:S$33,ROW(C31)-COUNTIF(C$6:C36,"xx")))</f>
        <v>0</v>
      </c>
      <c r="D37" s="6">
        <f>IF(TBG!K$1&gt;=ROW(D37)-6,"xx",INDEX(TBG!T$2:T$33,ROW(D31)-COUNTIF(D$6:D36,"xx")))</f>
        <v>0</v>
      </c>
      <c r="E37" s="6">
        <f>IF(TBG!L$1&gt;=ROW(E37)-6,"xx",INDEX(TBG!U$2:U$33,ROW(E31)-COUNTIF(E$6:E36,"xx")))</f>
        <v>0</v>
      </c>
      <c r="F37" s="6">
        <f>IF(TBG!M$1&gt;=ROW(F37)-6,"xx",INDEX(TBG!V$2:V$33,ROW(F31)-COUNTIF(F$6:F36,"xx")))</f>
        <v>0</v>
      </c>
      <c r="G37" s="6">
        <f>IF(TBG!N$1&gt;=ROW(G37)-6,"xx",INDEX(TBG!W$2:W$33,ROW(G31)-COUNTIF(G$6:G36,"xx")))</f>
        <v>0</v>
      </c>
      <c r="H37" s="6">
        <f>IF(TBG!O$1&gt;=ROW(H37)-6,"xx",INDEX(TBG!X$2:X$33,ROW(H31)-COUNTIF(H$6:H36,"xx")))</f>
        <v>0</v>
      </c>
      <c r="I37" s="6">
        <f>IF(TBG!P$1&gt;=ROW(I37)-6,"xx",INDEX(TBG!Y$2:Y$33,ROW(I31)-COUNTIF(I$6:I36,"xx")))</f>
        <v>0</v>
      </c>
    </row>
    <row r="38" spans="1:9" ht="16.5" x14ac:dyDescent="0.3">
      <c r="A38" s="6">
        <f>IF(TBG!H$1&gt;=ROW(A38)-6,"xx",INDEX(TBG!Q$2:Q$33,ROW(A32)-COUNTIF(A$6:A37,"xx")))</f>
        <v>0</v>
      </c>
      <c r="B38" s="6">
        <f>IF(TBG!I$1&gt;=ROW(B38)-6,"xx",INDEX(TBG!R$2:R$33,ROW(B32)-COUNTIF(B$6:B37,"xx")))</f>
        <v>0</v>
      </c>
      <c r="C38" s="6">
        <f>IF(TBG!J$1&gt;=ROW(C38)-6,"xx",INDEX(TBG!S$2:S$33,ROW(C32)-COUNTIF(C$6:C37,"xx")))</f>
        <v>0</v>
      </c>
      <c r="D38" s="6">
        <f>IF(TBG!K$1&gt;=ROW(D38)-6,"xx",INDEX(TBG!T$2:T$33,ROW(D32)-COUNTIF(D$6:D37,"xx")))</f>
        <v>0</v>
      </c>
      <c r="E38" s="6">
        <f>IF(TBG!L$1&gt;=ROW(E38)-6,"xx",INDEX(TBG!U$2:U$33,ROW(E32)-COUNTIF(E$6:E37,"xx")))</f>
        <v>0</v>
      </c>
      <c r="F38" s="6">
        <f>IF(TBG!M$1&gt;=ROW(F38)-6,"xx",INDEX(TBG!V$2:V$33,ROW(F32)-COUNTIF(F$6:F37,"xx")))</f>
        <v>0</v>
      </c>
      <c r="G38" s="6">
        <f>IF(TBG!N$1&gt;=ROW(G38)-6,"xx",INDEX(TBG!W$2:W$33,ROW(G32)-COUNTIF(G$6:G37,"xx")))</f>
        <v>0</v>
      </c>
      <c r="H38" s="6">
        <f>IF(TBG!O$1&gt;=ROW(H38)-6,"xx",INDEX(TBG!X$2:X$33,ROW(H32)-COUNTIF(H$6:H37,"xx")))</f>
        <v>0</v>
      </c>
      <c r="I38" s="6">
        <f>IF(TBG!P$1&gt;=ROW(I38)-6,"xx",INDEX(TBG!Y$2:Y$33,ROW(I32)-COUNTIF(I$6:I37,"xx")))</f>
        <v>0</v>
      </c>
    </row>
  </sheetData>
  <conditionalFormatting sqref="A7:I38">
    <cfRule type="expression" dxfId="7" priority="3">
      <formula>A7=0</formula>
    </cfRule>
  </conditionalFormatting>
  <conditionalFormatting sqref="A1:I38">
    <cfRule type="expression" dxfId="6" priority="1">
      <formula>NOT(OR(RIGHT(A1,1)="0",RIGHT(A1,2)="xx",RIGHT(A1,1)="★",RIGHT(A1,1)="☕",RIGHT(A1,1)="♣",RIGHT(A1,1)="⚔"))</formula>
    </cfRule>
    <cfRule type="expression" dxfId="5" priority="2">
      <formula>OR(RIGHT(A1,1)="★",RIGHT(A1,1)="☕")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draw1">
                <anchor moveWithCells="1" siz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flip1">
                <anchor moveWithCells="1" siz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1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tflip2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2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tflip3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3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tflip4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4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 macro="[0]!tflip5">
                <anchor moveWithCells="1" sizeWithCells="1">
                  <from>
                    <xdr:col>4</xdr:col>
                    <xdr:colOff>9525</xdr:colOff>
                    <xdr:row>5</xdr:row>
                    <xdr:rowOff>9525</xdr:rowOff>
                  </from>
                  <to>
                    <xdr:col>5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0" name="Button 9">
              <controlPr defaultSize="0" print="0" autoFill="0" autoPict="0" macro="[0]!tflip6">
                <anchor moveWithCells="1" sizeWithCells="1">
                  <from>
                    <xdr:col>5</xdr:col>
                    <xdr:colOff>9525</xdr:colOff>
                    <xdr:row>5</xdr:row>
                    <xdr:rowOff>9525</xdr:rowOff>
                  </from>
                  <to>
                    <xdr:col>6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1" name="Button 10">
              <controlPr defaultSize="0" print="0" autoFill="0" autoPict="0" macro="[0]!tflip7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2" name="Button 11">
              <controlPr defaultSize="0" print="0" autoFill="0" autoPict="0" macro="[0]!tflip8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8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3" name="Button 12">
              <controlPr defaultSize="0" print="0" autoFill="0" autoPict="0" macro="[0]!tflip9">
                <anchor moveWithCells="1" sizeWithCells="1">
                  <from>
                    <xdr:col>8</xdr:col>
                    <xdr:colOff>9525</xdr:colOff>
                    <xdr:row>5</xdr:row>
                    <xdr:rowOff>9525</xdr:rowOff>
                  </from>
                  <to>
                    <xdr:col>9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4" name="Button 13">
              <controlPr defaultSize="0" print="0" autoFill="0" autoPict="0" macro="[0]!treset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12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5" name="Button 14">
              <controlPr defaultSize="0" print="0" autoFill="0" autoPict="0" macro="[0]!ttabl1">
                <anchor moveWithCells="1" sizeWithCells="1"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1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6" name="Button 16">
              <controlPr defaultSize="0" print="0" autoFill="0" autoPict="0" macro="[0]!ttabl2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2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17" name="Button 17">
              <controlPr defaultSize="0" print="0" autoFill="0" autoPict="0" macro="[0]!ttabl3">
                <anchor moveWithCells="1" siz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3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18" name="Button 18">
              <controlPr defaultSize="0" print="0" autoFill="0" autoPict="0" macro="[0]!ttabl4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4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19" name="Button 19">
              <controlPr defaultSize="0" print="0" autoFill="0" autoPict="0" macro="[0]!ttabl5">
                <anchor moveWithCells="1" sizeWithCells="1">
                  <from>
                    <xdr:col>4</xdr:col>
                    <xdr:colOff>9525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0" name="Button 20">
              <controlPr defaultSize="0" print="0" autoFill="0" autoPict="0" macro="[0]!ttabl6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21" name="Button 21">
              <controlPr defaultSize="0" print="0" autoFill="0" autoPict="0" macro="[0]!ttabl7">
                <anchor moveWithCells="1" sizeWithCells="1">
                  <from>
                    <xdr:col>6</xdr:col>
                    <xdr:colOff>9525</xdr:colOff>
                    <xdr:row>4</xdr:row>
                    <xdr:rowOff>9525</xdr:rowOff>
                  </from>
                  <to>
                    <xdr:col>7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22" name="Button 22">
              <controlPr defaultSize="0" print="0" autoFill="0" autoPict="0" macro="[0]!ttabl8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8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23" name="Button 23">
              <controlPr defaultSize="0" print="0" autoFill="0" autoPict="0" macro="[0]!ttabl9">
                <anchor moveWithCells="1" sizeWithCells="1">
                  <from>
                    <xdr:col>8</xdr:col>
                    <xdr:colOff>9525</xdr:colOff>
                    <xdr:row>4</xdr:row>
                    <xdr:rowOff>9525</xdr:rowOff>
                  </from>
                  <to>
                    <xdr:col>9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24" name="Button 24">
              <controlPr defaultSize="0" print="0" autoFill="0" autoPict="0" macro="[0]!tfoundation">
                <anchor moveWithCells="1" sizeWithCells="1">
                  <from>
                    <xdr:col>4</xdr:col>
                    <xdr:colOff>9525</xdr:colOff>
                    <xdr:row>1</xdr:row>
                    <xdr:rowOff>9525</xdr:rowOff>
                  </from>
                  <to>
                    <xdr:col>5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25" name="Button 25">
              <controlPr defaultSize="0" print="0" autoFill="0" autoPict="0" macro="[0]!goodbye">
                <anchor moveWithCells="1" sizeWithCells="1">
                  <from>
                    <xdr:col>11</xdr:col>
                    <xdr:colOff>19050</xdr:colOff>
                    <xdr:row>3</xdr:row>
                    <xdr:rowOff>0</xdr:rowOff>
                  </from>
                  <to>
                    <xdr:col>11</xdr:col>
                    <xdr:colOff>600075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38"/>
  <sheetViews>
    <sheetView workbookViewId="0">
      <selection activeCell="L7" sqref="L7"/>
    </sheetView>
  </sheetViews>
  <sheetFormatPr defaultRowHeight="15" x14ac:dyDescent="0.25"/>
  <sheetData>
    <row r="1" spans="1:15" ht="16.5" x14ac:dyDescent="0.3">
      <c r="A1" s="6" t="str">
        <f>INDEX(TBG!F2:F35,MATCH("x",TBG!G2:G35,0))</f>
        <v>o</v>
      </c>
      <c r="B1" s="7" t="str">
        <f>IFERROR(IF(A1&lt;&gt;"o",INDEX(TBG!F2:F35,MATCH("x",TBG!G2:G35,0)-1),""),"")</f>
        <v/>
      </c>
      <c r="C1" s="7" t="str">
        <f>IFERROR(IF(A1&lt;&gt;"o",INDEX(TBG!F2:F35,MATCH("x",TBG!G2:G35,0)-2),""),"")</f>
        <v/>
      </c>
      <c r="D1" s="6"/>
      <c r="E1" s="6" t="str">
        <f>IFERROR(INDEX(TBG!Z$2:Z$15,TBG!Z$1),"♧")</f>
        <v>♧</v>
      </c>
      <c r="F1" s="6" t="str">
        <f>IFERROR(INDEX(TBG!AA$2:AA$15,TBG!AA$1),"☆")</f>
        <v>☆</v>
      </c>
      <c r="G1" s="6" t="str">
        <f>IFERROR(INDEX(TBG!AB$2:AB$15,TBG!AB$1),"♡")</f>
        <v>♡</v>
      </c>
      <c r="H1" s="6" t="str">
        <f>IFERROR(INDEX(TBG!AC$2:AC$15,TBG!AC$1),"♤")</f>
        <v>♤</v>
      </c>
      <c r="I1" s="6" t="str">
        <f>IFERROR(INDEX(TBG!AD$2:AD$23,TBG!AD$1),"⛎")</f>
        <v>⛎</v>
      </c>
      <c r="K1" t="s">
        <v>169</v>
      </c>
      <c r="N1" t="s">
        <v>10</v>
      </c>
    </row>
    <row r="2" spans="1:15" ht="16.5" x14ac:dyDescent="0.3">
      <c r="A2" s="6"/>
      <c r="B2" s="6" t="str">
        <f>IF(INDEX(TBG!F1:F36,MATCH("x",TBG!G1:G35,0)+1)="o","End of Deck","")</f>
        <v/>
      </c>
      <c r="C2" s="6"/>
      <c r="D2" s="6"/>
      <c r="E2" s="6"/>
      <c r="F2" s="6"/>
      <c r="G2" s="6"/>
      <c r="H2" s="6"/>
      <c r="I2" s="6"/>
      <c r="K2">
        <f>TBG!AE2</f>
        <v>0</v>
      </c>
      <c r="N2">
        <v>1115</v>
      </c>
      <c r="O2" t="s">
        <v>175</v>
      </c>
    </row>
    <row r="3" spans="1:15" ht="16.5" x14ac:dyDescent="0.3">
      <c r="A3" s="6"/>
      <c r="B3" s="6"/>
      <c r="C3" s="6"/>
      <c r="D3" s="6"/>
      <c r="E3" s="6"/>
      <c r="F3" s="6"/>
      <c r="G3" s="6"/>
      <c r="H3" s="6"/>
      <c r="I3" s="6"/>
      <c r="N3">
        <v>0</v>
      </c>
    </row>
    <row r="4" spans="1:15" ht="16.5" x14ac:dyDescent="0.3">
      <c r="A4" s="6"/>
      <c r="B4" s="6"/>
      <c r="C4" s="6"/>
      <c r="D4" s="6"/>
      <c r="E4" s="6"/>
      <c r="F4" s="6"/>
      <c r="G4" s="6"/>
      <c r="H4" s="6"/>
      <c r="I4" s="6"/>
      <c r="N4">
        <v>0</v>
      </c>
    </row>
    <row r="5" spans="1:15" ht="16.5" x14ac:dyDescent="0.3">
      <c r="A5" s="6"/>
      <c r="B5" s="6"/>
      <c r="C5" s="6"/>
      <c r="D5" s="6"/>
      <c r="E5" s="6"/>
      <c r="F5" s="6"/>
      <c r="G5" s="6"/>
      <c r="H5" s="6"/>
      <c r="I5" s="6"/>
      <c r="N5">
        <v>0</v>
      </c>
    </row>
    <row r="6" spans="1:15" ht="16.5" x14ac:dyDescent="0.3">
      <c r="A6" s="6"/>
      <c r="B6" s="6"/>
      <c r="C6" s="6"/>
      <c r="D6" s="6"/>
      <c r="E6" s="6"/>
      <c r="F6" s="6"/>
      <c r="G6" s="6"/>
      <c r="H6" s="6"/>
      <c r="I6" s="6"/>
      <c r="N6">
        <v>0</v>
      </c>
    </row>
    <row r="7" spans="1:15" ht="16.5" x14ac:dyDescent="0.3">
      <c r="A7" s="6" t="str">
        <f>IF(TBG!H$1&gt;=ROW(A7)-6,"xx",INDEX(TBG!Q$2:Q$33,ROW(A1)-COUNTIF(A$6:A6,"xx")))</f>
        <v>xx</v>
      </c>
      <c r="B7" s="6" t="str">
        <f>IF(TBG!I$1&gt;=ROW(B7)-6,"xx",INDEX(TBG!R$2:R$33,ROW(B1)-COUNTIF(B$6:B6,"xx")))</f>
        <v>xx</v>
      </c>
      <c r="C7" s="6" t="str">
        <f>IF(TBG!J$1&gt;=ROW(C7)-6,"xx",INDEX(TBG!S$2:S$33,ROW(C1)-COUNTIF(C$6:C6,"xx")))</f>
        <v>xx</v>
      </c>
      <c r="D7" s="6" t="str">
        <f>IF(TBG!K$1&gt;=ROW(D7)-6,"xx",INDEX(TBG!T$2:T$33,ROW(D1)-COUNTIF(D$6:D6,"xx")))</f>
        <v>xx</v>
      </c>
      <c r="E7" s="6" t="str">
        <f>IF(TBG!L$1&gt;=ROW(E7)-6,"xx",INDEX(TBG!U$2:U$33,ROW(E1)-COUNTIF(E$6:E6,"xx")))</f>
        <v>xx</v>
      </c>
      <c r="F7" s="6" t="str">
        <f>IF(TBG!M$1&gt;=ROW(F7)-6,"xx",INDEX(TBG!V$2:V$33,ROW(F1)-COUNTIF(F$6:F6,"xx")))</f>
        <v>xx</v>
      </c>
      <c r="G7" s="6" t="str">
        <f>IF(TBG!N$1&gt;=ROW(G7)-6,"xx",INDEX(TBG!W$2:W$33,ROW(G1)-COUNTIF(G$6:G6,"xx")))</f>
        <v>xx</v>
      </c>
      <c r="H7" s="6" t="str">
        <f>IF(TBG!O$1&gt;=ROW(H7)-6,"xx",INDEX(TBG!X$2:X$33,ROW(H1)-COUNTIF(H$6:H6,"xx")))</f>
        <v>xx</v>
      </c>
      <c r="I7" s="6" t="str">
        <f>IF(TBG!P$1&gt;=ROW(I7)-6,"xx",INDEX(TBG!Y$2:Y$33,ROW(I1)-COUNTIF(I$6:I6,"xx")))</f>
        <v>xx</v>
      </c>
      <c r="N7">
        <v>0</v>
      </c>
    </row>
    <row r="8" spans="1:15" ht="16.5" x14ac:dyDescent="0.3">
      <c r="A8" s="6">
        <f>IF(TBG!H$1&gt;=ROW(A8)-6,"xx",INDEX(TBG!Q$2:Q$33,ROW(A2)-COUNTIF(A$6:A7,"xx")))</f>
        <v>0</v>
      </c>
      <c r="B8" s="6" t="str">
        <f>IF(TBG!I$1&gt;=ROW(B8)-6,"xx",INDEX(TBG!R$2:R$33,ROW(B2)-COUNTIF(B$6:B7,"xx")))</f>
        <v>xx</v>
      </c>
      <c r="C8" s="6" t="str">
        <f>IF(TBG!J$1&gt;=ROW(C8)-6,"xx",INDEX(TBG!S$2:S$33,ROW(C2)-COUNTIF(C$6:C7,"xx")))</f>
        <v>xx</v>
      </c>
      <c r="D8" s="6" t="str">
        <f>IF(TBG!K$1&gt;=ROW(D8)-6,"xx",INDEX(TBG!T$2:T$33,ROW(D2)-COUNTIF(D$6:D7,"xx")))</f>
        <v>xx</v>
      </c>
      <c r="E8" s="6" t="str">
        <f>IF(TBG!L$1&gt;=ROW(E8)-6,"xx",INDEX(TBG!U$2:U$33,ROW(E2)-COUNTIF(E$6:E7,"xx")))</f>
        <v>xx</v>
      </c>
      <c r="F8" s="6" t="str">
        <f>IF(TBG!M$1&gt;=ROW(F8)-6,"xx",INDEX(TBG!V$2:V$33,ROW(F2)-COUNTIF(F$6:F7,"xx")))</f>
        <v>xx</v>
      </c>
      <c r="G8" s="6" t="str">
        <f>IF(TBG!N$1&gt;=ROW(G8)-6,"xx",INDEX(TBG!W$2:W$33,ROW(G2)-COUNTIF(G$6:G7,"xx")))</f>
        <v>xx</v>
      </c>
      <c r="H8" s="6" t="str">
        <f>IF(TBG!O$1&gt;=ROW(H8)-6,"xx",INDEX(TBG!X$2:X$33,ROW(H2)-COUNTIF(H$6:H7,"xx")))</f>
        <v>xx</v>
      </c>
      <c r="I8" s="6" t="str">
        <f>IF(TBG!P$1&gt;=ROW(I8)-6,"xx",INDEX(TBG!Y$2:Y$33,ROW(I2)-COUNTIF(I$6:I7,"xx")))</f>
        <v>xx</v>
      </c>
      <c r="N8">
        <v>0</v>
      </c>
    </row>
    <row r="9" spans="1:15" ht="16.5" x14ac:dyDescent="0.3">
      <c r="A9" s="6">
        <f>IF(TBG!H$1&gt;=ROW(A9)-6,"xx",INDEX(TBG!Q$2:Q$33,ROW(A3)-COUNTIF(A$6:A8,"xx")))</f>
        <v>0</v>
      </c>
      <c r="B9" s="6">
        <f>IF(TBG!I$1&gt;=ROW(B9)-6,"xx",INDEX(TBG!R$2:R$33,ROW(B3)-COUNTIF(B$6:B8,"xx")))</f>
        <v>0</v>
      </c>
      <c r="C9" s="6" t="str">
        <f>IF(TBG!J$1&gt;=ROW(C9)-6,"xx",INDEX(TBG!S$2:S$33,ROW(C3)-COUNTIF(C$6:C8,"xx")))</f>
        <v>xx</v>
      </c>
      <c r="D9" s="6" t="str">
        <f>IF(TBG!K$1&gt;=ROW(D9)-6,"xx",INDEX(TBG!T$2:T$33,ROW(D3)-COUNTIF(D$6:D8,"xx")))</f>
        <v>xx</v>
      </c>
      <c r="E9" s="6" t="str">
        <f>IF(TBG!L$1&gt;=ROW(E9)-6,"xx",INDEX(TBG!U$2:U$33,ROW(E3)-COUNTIF(E$6:E8,"xx")))</f>
        <v>xx</v>
      </c>
      <c r="F9" s="6" t="str">
        <f>IF(TBG!M$1&gt;=ROW(F9)-6,"xx",INDEX(TBG!V$2:V$33,ROW(F3)-COUNTIF(F$6:F8,"xx")))</f>
        <v>xx</v>
      </c>
      <c r="G9" s="6" t="str">
        <f>IF(TBG!N$1&gt;=ROW(G9)-6,"xx",INDEX(TBG!W$2:W$33,ROW(G3)-COUNTIF(G$6:G8,"xx")))</f>
        <v>xx</v>
      </c>
      <c r="H9" s="6" t="str">
        <f>IF(TBG!O$1&gt;=ROW(H9)-6,"xx",INDEX(TBG!X$2:X$33,ROW(H3)-COUNTIF(H$6:H8,"xx")))</f>
        <v>xx</v>
      </c>
      <c r="I9" s="6" t="str">
        <f>IF(TBG!P$1&gt;=ROW(I9)-6,"xx",INDEX(TBG!Y$2:Y$33,ROW(I3)-COUNTIF(I$6:I8,"xx")))</f>
        <v>xx</v>
      </c>
      <c r="N9">
        <v>0</v>
      </c>
    </row>
    <row r="10" spans="1:15" ht="16.5" x14ac:dyDescent="0.3">
      <c r="A10" s="6">
        <f>IF(TBG!H$1&gt;=ROW(A10)-6,"xx",INDEX(TBG!Q$2:Q$33,ROW(A4)-COUNTIF(A$6:A9,"xx")))</f>
        <v>0</v>
      </c>
      <c r="B10" s="6">
        <f>IF(TBG!I$1&gt;=ROW(B10)-6,"xx",INDEX(TBG!R$2:R$33,ROW(B4)-COUNTIF(B$6:B9,"xx")))</f>
        <v>0</v>
      </c>
      <c r="C10" s="6">
        <f>IF(TBG!J$1&gt;=ROW(C10)-6,"xx",INDEX(TBG!S$2:S$33,ROW(C4)-COUNTIF(C$6:C9,"xx")))</f>
        <v>0</v>
      </c>
      <c r="D10" s="6" t="str">
        <f>IF(TBG!K$1&gt;=ROW(D10)-6,"xx",INDEX(TBG!T$2:T$33,ROW(D4)-COUNTIF(D$6:D9,"xx")))</f>
        <v>xx</v>
      </c>
      <c r="E10" s="6" t="str">
        <f>IF(TBG!L$1&gt;=ROW(E10)-6,"xx",INDEX(TBG!U$2:U$33,ROW(E4)-COUNTIF(E$6:E9,"xx")))</f>
        <v>xx</v>
      </c>
      <c r="F10" s="6" t="str">
        <f>IF(TBG!M$1&gt;=ROW(F10)-6,"xx",INDEX(TBG!V$2:V$33,ROW(F4)-COUNTIF(F$6:F9,"xx")))</f>
        <v>xx</v>
      </c>
      <c r="G10" s="6" t="str">
        <f>IF(TBG!N$1&gt;=ROW(G10)-6,"xx",INDEX(TBG!W$2:W$33,ROW(G4)-COUNTIF(G$6:G9,"xx")))</f>
        <v>xx</v>
      </c>
      <c r="H10" s="6" t="str">
        <f>IF(TBG!O$1&gt;=ROW(H10)-6,"xx",INDEX(TBG!X$2:X$33,ROW(H4)-COUNTIF(H$6:H9,"xx")))</f>
        <v>xx</v>
      </c>
      <c r="I10" s="6" t="str">
        <f>IF(TBG!P$1&gt;=ROW(I10)-6,"xx",INDEX(TBG!Y$2:Y$33,ROW(I4)-COUNTIF(I$6:I9,"xx")))</f>
        <v>xx</v>
      </c>
      <c r="N10">
        <v>0</v>
      </c>
    </row>
    <row r="11" spans="1:15" ht="16.5" x14ac:dyDescent="0.3">
      <c r="A11" s="6">
        <f>IF(TBG!H$1&gt;=ROW(A11)-6,"xx",INDEX(TBG!Q$2:Q$33,ROW(A5)-COUNTIF(A$6:A10,"xx")))</f>
        <v>0</v>
      </c>
      <c r="B11" s="6">
        <f>IF(TBG!I$1&gt;=ROW(B11)-6,"xx",INDEX(TBG!R$2:R$33,ROW(B5)-COUNTIF(B$6:B10,"xx")))</f>
        <v>0</v>
      </c>
      <c r="C11" s="6">
        <f>IF(TBG!J$1&gt;=ROW(C11)-6,"xx",INDEX(TBG!S$2:S$33,ROW(C5)-COUNTIF(C$6:C10,"xx")))</f>
        <v>0</v>
      </c>
      <c r="D11" s="6">
        <f>IF(TBG!K$1&gt;=ROW(D11)-6,"xx",INDEX(TBG!T$2:T$33,ROW(D5)-COUNTIF(D$6:D10,"xx")))</f>
        <v>0</v>
      </c>
      <c r="E11" s="6" t="str">
        <f>IF(TBG!L$1&gt;=ROW(E11)-6,"xx",INDEX(TBG!U$2:U$33,ROW(E5)-COUNTIF(E$6:E10,"xx")))</f>
        <v>xx</v>
      </c>
      <c r="F11" s="6" t="str">
        <f>IF(TBG!M$1&gt;=ROW(F11)-6,"xx",INDEX(TBG!V$2:V$33,ROW(F5)-COUNTIF(F$6:F10,"xx")))</f>
        <v>xx</v>
      </c>
      <c r="G11" s="6" t="str">
        <f>IF(TBG!N$1&gt;=ROW(G11)-6,"xx",INDEX(TBG!W$2:W$33,ROW(G5)-COUNTIF(G$6:G10,"xx")))</f>
        <v>xx</v>
      </c>
      <c r="H11" s="6" t="str">
        <f>IF(TBG!O$1&gt;=ROW(H11)-6,"xx",INDEX(TBG!X$2:X$33,ROW(H5)-COUNTIF(H$6:H10,"xx")))</f>
        <v>xx</v>
      </c>
      <c r="I11" s="6" t="str">
        <f>IF(TBG!P$1&gt;=ROW(I11)-6,"xx",INDEX(TBG!Y$2:Y$33,ROW(I5)-COUNTIF(I$6:I10,"xx")))</f>
        <v>xx</v>
      </c>
      <c r="N11">
        <v>0</v>
      </c>
    </row>
    <row r="12" spans="1:15" ht="16.5" x14ac:dyDescent="0.3">
      <c r="A12" s="6">
        <f>IF(TBG!H$1&gt;=ROW(A12)-6,"xx",INDEX(TBG!Q$2:Q$33,ROW(A6)-COUNTIF(A$6:A11,"xx")))</f>
        <v>0</v>
      </c>
      <c r="B12" s="6">
        <f>IF(TBG!I$1&gt;=ROW(B12)-6,"xx",INDEX(TBG!R$2:R$33,ROW(B6)-COUNTIF(B$6:B11,"xx")))</f>
        <v>0</v>
      </c>
      <c r="C12" s="6">
        <f>IF(TBG!J$1&gt;=ROW(C12)-6,"xx",INDEX(TBG!S$2:S$33,ROW(C6)-COUNTIF(C$6:C11,"xx")))</f>
        <v>0</v>
      </c>
      <c r="D12" s="6">
        <f>IF(TBG!K$1&gt;=ROW(D12)-6,"xx",INDEX(TBG!T$2:T$33,ROW(D6)-COUNTIF(D$6:D11,"xx")))</f>
        <v>0</v>
      </c>
      <c r="E12" s="6">
        <f>IF(TBG!L$1&gt;=ROW(E12)-6,"xx",INDEX(TBG!U$2:U$33,ROW(E6)-COUNTIF(E$6:E11,"xx")))</f>
        <v>0</v>
      </c>
      <c r="F12" s="6" t="str">
        <f>IF(TBG!M$1&gt;=ROW(F12)-6,"xx",INDEX(TBG!V$2:V$33,ROW(F6)-COUNTIF(F$6:F11,"xx")))</f>
        <v>xx</v>
      </c>
      <c r="G12" s="6" t="str">
        <f>IF(TBG!N$1&gt;=ROW(G12)-6,"xx",INDEX(TBG!W$2:W$33,ROW(G6)-COUNTIF(G$6:G11,"xx")))</f>
        <v>xx</v>
      </c>
      <c r="H12" s="6" t="str">
        <f>IF(TBG!O$1&gt;=ROW(H12)-6,"xx",INDEX(TBG!X$2:X$33,ROW(H6)-COUNTIF(H$6:H11,"xx")))</f>
        <v>xx</v>
      </c>
      <c r="I12" s="6" t="str">
        <f>IF(TBG!P$1&gt;=ROW(I12)-6,"xx",INDEX(TBG!Y$2:Y$33,ROW(I6)-COUNTIF(I$6:I11,"xx")))</f>
        <v>xx</v>
      </c>
    </row>
    <row r="13" spans="1:15" ht="16.5" x14ac:dyDescent="0.3">
      <c r="A13" s="6">
        <f>IF(TBG!H$1&gt;=ROW(A13)-6,"xx",INDEX(TBG!Q$2:Q$33,ROW(A7)-COUNTIF(A$6:A12,"xx")))</f>
        <v>0</v>
      </c>
      <c r="B13" s="6">
        <f>IF(TBG!I$1&gt;=ROW(B13)-6,"xx",INDEX(TBG!R$2:R$33,ROW(B7)-COUNTIF(B$6:B12,"xx")))</f>
        <v>0</v>
      </c>
      <c r="C13" s="6">
        <f>IF(TBG!J$1&gt;=ROW(C13)-6,"xx",INDEX(TBG!S$2:S$33,ROW(C7)-COUNTIF(C$6:C12,"xx")))</f>
        <v>0</v>
      </c>
      <c r="D13" s="6">
        <f>IF(TBG!K$1&gt;=ROW(D13)-6,"xx",INDEX(TBG!T$2:T$33,ROW(D7)-COUNTIF(D$6:D12,"xx")))</f>
        <v>0</v>
      </c>
      <c r="E13" s="6">
        <f>IF(TBG!L$1&gt;=ROW(E13)-6,"xx",INDEX(TBG!U$2:U$33,ROW(E7)-COUNTIF(E$6:E12,"xx")))</f>
        <v>0</v>
      </c>
      <c r="F13" s="6">
        <f>IF(TBG!M$1&gt;=ROW(F13)-6,"xx",INDEX(TBG!V$2:V$33,ROW(F7)-COUNTIF(F$6:F12,"xx")))</f>
        <v>0</v>
      </c>
      <c r="G13" s="6" t="str">
        <f>IF(TBG!N$1&gt;=ROW(G13)-6,"xx",INDEX(TBG!W$2:W$33,ROW(G7)-COUNTIF(G$6:G12,"xx")))</f>
        <v>xx</v>
      </c>
      <c r="H13" s="6" t="str">
        <f>IF(TBG!O$1&gt;=ROW(H13)-6,"xx",INDEX(TBG!X$2:X$33,ROW(H7)-COUNTIF(H$6:H12,"xx")))</f>
        <v>xx</v>
      </c>
      <c r="I13" s="6" t="str">
        <f>IF(TBG!P$1&gt;=ROW(I13)-6,"xx",INDEX(TBG!Y$2:Y$33,ROW(I7)-COUNTIF(I$6:I12,"xx")))</f>
        <v>xx</v>
      </c>
    </row>
    <row r="14" spans="1:15" ht="16.5" x14ac:dyDescent="0.3">
      <c r="A14" s="6">
        <f>IF(TBG!H$1&gt;=ROW(A14)-6,"xx",INDEX(TBG!Q$2:Q$33,ROW(A8)-COUNTIF(A$6:A13,"xx")))</f>
        <v>0</v>
      </c>
      <c r="B14" s="6">
        <f>IF(TBG!I$1&gt;=ROW(B14)-6,"xx",INDEX(TBG!R$2:R$33,ROW(B8)-COUNTIF(B$6:B13,"xx")))</f>
        <v>0</v>
      </c>
      <c r="C14" s="6">
        <f>IF(TBG!J$1&gt;=ROW(C14)-6,"xx",INDEX(TBG!S$2:S$33,ROW(C8)-COUNTIF(C$6:C13,"xx")))</f>
        <v>0</v>
      </c>
      <c r="D14" s="6">
        <f>IF(TBG!K$1&gt;=ROW(D14)-6,"xx",INDEX(TBG!T$2:T$33,ROW(D8)-COUNTIF(D$6:D13,"xx")))</f>
        <v>0</v>
      </c>
      <c r="E14" s="6">
        <f>IF(TBG!L$1&gt;=ROW(E14)-6,"xx",INDEX(TBG!U$2:U$33,ROW(E8)-COUNTIF(E$6:E13,"xx")))</f>
        <v>0</v>
      </c>
      <c r="F14" s="6">
        <f>IF(TBG!M$1&gt;=ROW(F14)-6,"xx",INDEX(TBG!V$2:V$33,ROW(F8)-COUNTIF(F$6:F13,"xx")))</f>
        <v>0</v>
      </c>
      <c r="G14" s="6">
        <f>IF(TBG!N$1&gt;=ROW(G14)-6,"xx",INDEX(TBG!W$2:W$33,ROW(G8)-COUNTIF(G$6:G13,"xx")))</f>
        <v>0</v>
      </c>
      <c r="H14" s="6" t="str">
        <f>IF(TBG!O$1&gt;=ROW(H14)-6,"xx",INDEX(TBG!X$2:X$33,ROW(H8)-COUNTIF(H$6:H13,"xx")))</f>
        <v>xx</v>
      </c>
      <c r="I14" s="6" t="str">
        <f>IF(TBG!P$1&gt;=ROW(I14)-6,"xx",INDEX(TBG!Y$2:Y$33,ROW(I8)-COUNTIF(I$6:I13,"xx")))</f>
        <v>xx</v>
      </c>
    </row>
    <row r="15" spans="1:15" ht="16.5" x14ac:dyDescent="0.3">
      <c r="A15" s="6">
        <f>IF(TBG!H$1&gt;=ROW(A15)-6,"xx",INDEX(TBG!Q$2:Q$33,ROW(A9)-COUNTIF(A$6:A14,"xx")))</f>
        <v>0</v>
      </c>
      <c r="B15" s="6">
        <f>IF(TBG!I$1&gt;=ROW(B15)-6,"xx",INDEX(TBG!R$2:R$33,ROW(B9)-COUNTIF(B$6:B14,"xx")))</f>
        <v>0</v>
      </c>
      <c r="C15" s="6">
        <f>IF(TBG!J$1&gt;=ROW(C15)-6,"xx",INDEX(TBG!S$2:S$33,ROW(C9)-COUNTIF(C$6:C14,"xx")))</f>
        <v>0</v>
      </c>
      <c r="D15" s="6">
        <f>IF(TBG!K$1&gt;=ROW(D15)-6,"xx",INDEX(TBG!T$2:T$33,ROW(D9)-COUNTIF(D$6:D14,"xx")))</f>
        <v>0</v>
      </c>
      <c r="E15" s="6">
        <f>IF(TBG!L$1&gt;=ROW(E15)-6,"xx",INDEX(TBG!U$2:U$33,ROW(E9)-COUNTIF(E$6:E14,"xx")))</f>
        <v>0</v>
      </c>
      <c r="F15" s="6">
        <f>IF(TBG!M$1&gt;=ROW(F15)-6,"xx",INDEX(TBG!V$2:V$33,ROW(F9)-COUNTIF(F$6:F14,"xx")))</f>
        <v>0</v>
      </c>
      <c r="G15" s="6">
        <f>IF(TBG!N$1&gt;=ROW(G15)-6,"xx",INDEX(TBG!W$2:W$33,ROW(G9)-COUNTIF(G$6:G14,"xx")))</f>
        <v>0</v>
      </c>
      <c r="H15" s="6">
        <f>IF(TBG!O$1&gt;=ROW(H15)-6,"xx",INDEX(TBG!X$2:X$33,ROW(H9)-COUNTIF(H$6:H14,"xx")))</f>
        <v>0</v>
      </c>
      <c r="I15" s="6" t="str">
        <f>IF(TBG!P$1&gt;=ROW(I15)-6,"xx",INDEX(TBG!Y$2:Y$33,ROW(I9)-COUNTIF(I$6:I14,"xx")))</f>
        <v>xx</v>
      </c>
    </row>
    <row r="16" spans="1:15" ht="16.5" x14ac:dyDescent="0.3">
      <c r="A16" s="6">
        <f>IF(TBG!H$1&gt;=ROW(A16)-6,"xx",INDEX(TBG!Q$2:Q$33,ROW(A10)-COUNTIF(A$6:A15,"xx")))</f>
        <v>0</v>
      </c>
      <c r="B16" s="6">
        <f>IF(TBG!I$1&gt;=ROW(B16)-6,"xx",INDEX(TBG!R$2:R$33,ROW(B10)-COUNTIF(B$6:B15,"xx")))</f>
        <v>0</v>
      </c>
      <c r="C16" s="6">
        <f>IF(TBG!J$1&gt;=ROW(C16)-6,"xx",INDEX(TBG!S$2:S$33,ROW(C10)-COUNTIF(C$6:C15,"xx")))</f>
        <v>0</v>
      </c>
      <c r="D16" s="6">
        <f>IF(TBG!K$1&gt;=ROW(D16)-6,"xx",INDEX(TBG!T$2:T$33,ROW(D10)-COUNTIF(D$6:D15,"xx")))</f>
        <v>0</v>
      </c>
      <c r="E16" s="6">
        <f>IF(TBG!L$1&gt;=ROW(E16)-6,"xx",INDEX(TBG!U$2:U$33,ROW(E10)-COUNTIF(E$6:E15,"xx")))</f>
        <v>0</v>
      </c>
      <c r="F16" s="6">
        <f>IF(TBG!M$1&gt;=ROW(F16)-6,"xx",INDEX(TBG!V$2:V$33,ROW(F10)-COUNTIF(F$6:F15,"xx")))</f>
        <v>0</v>
      </c>
      <c r="G16" s="6">
        <f>IF(TBG!N$1&gt;=ROW(G16)-6,"xx",INDEX(TBG!W$2:W$33,ROW(G10)-COUNTIF(G$6:G15,"xx")))</f>
        <v>0</v>
      </c>
      <c r="H16" s="6">
        <f>IF(TBG!O$1&gt;=ROW(H16)-6,"xx",INDEX(TBG!X$2:X$33,ROW(H10)-COUNTIF(H$6:H15,"xx")))</f>
        <v>0</v>
      </c>
      <c r="I16" s="6">
        <f>IF(TBG!P$1&gt;=ROW(I16)-6,"xx",INDEX(TBG!Y$2:Y$33,ROW(I10)-COUNTIF(I$6:I15,"xx")))</f>
        <v>0</v>
      </c>
    </row>
    <row r="17" spans="1:9" ht="16.5" x14ac:dyDescent="0.3">
      <c r="A17" s="6">
        <f>IF(TBG!H$1&gt;=ROW(A17)-6,"xx",INDEX(TBG!Q$2:Q$33,ROW(A11)-COUNTIF(A$6:A16,"xx")))</f>
        <v>0</v>
      </c>
      <c r="B17" s="6">
        <f>IF(TBG!I$1&gt;=ROW(B17)-6,"xx",INDEX(TBG!R$2:R$33,ROW(B11)-COUNTIF(B$6:B16,"xx")))</f>
        <v>0</v>
      </c>
      <c r="C17" s="6">
        <f>IF(TBG!J$1&gt;=ROW(C17)-6,"xx",INDEX(TBG!S$2:S$33,ROW(C11)-COUNTIF(C$6:C16,"xx")))</f>
        <v>0</v>
      </c>
      <c r="D17" s="6">
        <f>IF(TBG!K$1&gt;=ROW(D17)-6,"xx",INDEX(TBG!T$2:T$33,ROW(D11)-COUNTIF(D$6:D16,"xx")))</f>
        <v>0</v>
      </c>
      <c r="E17" s="6">
        <f>IF(TBG!L$1&gt;=ROW(E17)-6,"xx",INDEX(TBG!U$2:U$33,ROW(E11)-COUNTIF(E$6:E16,"xx")))</f>
        <v>0</v>
      </c>
      <c r="F17" s="6">
        <f>IF(TBG!M$1&gt;=ROW(F17)-6,"xx",INDEX(TBG!V$2:V$33,ROW(F11)-COUNTIF(F$6:F16,"xx")))</f>
        <v>0</v>
      </c>
      <c r="G17" s="6">
        <f>IF(TBG!N$1&gt;=ROW(G17)-6,"xx",INDEX(TBG!W$2:W$33,ROW(G11)-COUNTIF(G$6:G16,"xx")))</f>
        <v>0</v>
      </c>
      <c r="H17" s="6">
        <f>IF(TBG!O$1&gt;=ROW(H17)-6,"xx",INDEX(TBG!X$2:X$33,ROW(H11)-COUNTIF(H$6:H16,"xx")))</f>
        <v>0</v>
      </c>
      <c r="I17" s="6">
        <f>IF(TBG!P$1&gt;=ROW(I17)-6,"xx",INDEX(TBG!Y$2:Y$33,ROW(I11)-COUNTIF(I$6:I16,"xx")))</f>
        <v>0</v>
      </c>
    </row>
    <row r="18" spans="1:9" ht="16.5" x14ac:dyDescent="0.3">
      <c r="A18" s="6">
        <f>IF(TBG!H$1&gt;=ROW(A18)-6,"xx",INDEX(TBG!Q$2:Q$33,ROW(A12)-COUNTIF(A$6:A17,"xx")))</f>
        <v>0</v>
      </c>
      <c r="B18" s="6">
        <f>IF(TBG!I$1&gt;=ROW(B18)-6,"xx",INDEX(TBG!R$2:R$33,ROW(B12)-COUNTIF(B$6:B17,"xx")))</f>
        <v>0</v>
      </c>
      <c r="C18" s="6">
        <f>IF(TBG!J$1&gt;=ROW(C18)-6,"xx",INDEX(TBG!S$2:S$33,ROW(C12)-COUNTIF(C$6:C17,"xx")))</f>
        <v>0</v>
      </c>
      <c r="D18" s="6">
        <f>IF(TBG!K$1&gt;=ROW(D18)-6,"xx",INDEX(TBG!T$2:T$33,ROW(D12)-COUNTIF(D$6:D17,"xx")))</f>
        <v>0</v>
      </c>
      <c r="E18" s="6">
        <f>IF(TBG!L$1&gt;=ROW(E18)-6,"xx",INDEX(TBG!U$2:U$33,ROW(E12)-COUNTIF(E$6:E17,"xx")))</f>
        <v>0</v>
      </c>
      <c r="F18" s="6">
        <f>IF(TBG!M$1&gt;=ROW(F18)-6,"xx",INDEX(TBG!V$2:V$33,ROW(F12)-COUNTIF(F$6:F17,"xx")))</f>
        <v>0</v>
      </c>
      <c r="G18" s="6">
        <f>IF(TBG!N$1&gt;=ROW(G18)-6,"xx",INDEX(TBG!W$2:W$33,ROW(G12)-COUNTIF(G$6:G17,"xx")))</f>
        <v>0</v>
      </c>
      <c r="H18" s="6">
        <f>IF(TBG!O$1&gt;=ROW(H18)-6,"xx",INDEX(TBG!X$2:X$33,ROW(H12)-COUNTIF(H$6:H17,"xx")))</f>
        <v>0</v>
      </c>
      <c r="I18" s="6">
        <f>IF(TBG!P$1&gt;=ROW(I18)-6,"xx",INDEX(TBG!Y$2:Y$33,ROW(I12)-COUNTIF(I$6:I17,"xx")))</f>
        <v>0</v>
      </c>
    </row>
    <row r="19" spans="1:9" ht="16.5" x14ac:dyDescent="0.3">
      <c r="A19" s="6">
        <f>IF(TBG!H$1&gt;=ROW(A19)-6,"xx",INDEX(TBG!Q$2:Q$33,ROW(A13)-COUNTIF(A$6:A18,"xx")))</f>
        <v>0</v>
      </c>
      <c r="B19" s="6">
        <f>IF(TBG!I$1&gt;=ROW(B19)-6,"xx",INDEX(TBG!R$2:R$33,ROW(B13)-COUNTIF(B$6:B18,"xx")))</f>
        <v>0</v>
      </c>
      <c r="C19" s="6">
        <f>IF(TBG!J$1&gt;=ROW(C19)-6,"xx",INDEX(TBG!S$2:S$33,ROW(C13)-COUNTIF(C$6:C18,"xx")))</f>
        <v>0</v>
      </c>
      <c r="D19" s="6">
        <f>IF(TBG!K$1&gt;=ROW(D19)-6,"xx",INDEX(TBG!T$2:T$33,ROW(D13)-COUNTIF(D$6:D18,"xx")))</f>
        <v>0</v>
      </c>
      <c r="E19" s="6">
        <f>IF(TBG!L$1&gt;=ROW(E19)-6,"xx",INDEX(TBG!U$2:U$33,ROW(E13)-COUNTIF(E$6:E18,"xx")))</f>
        <v>0</v>
      </c>
      <c r="F19" s="6">
        <f>IF(TBG!M$1&gt;=ROW(F19)-6,"xx",INDEX(TBG!V$2:V$33,ROW(F13)-COUNTIF(F$6:F18,"xx")))</f>
        <v>0</v>
      </c>
      <c r="G19" s="6">
        <f>IF(TBG!N$1&gt;=ROW(G19)-6,"xx",INDEX(TBG!W$2:W$33,ROW(G13)-COUNTIF(G$6:G18,"xx")))</f>
        <v>0</v>
      </c>
      <c r="H19" s="6">
        <f>IF(TBG!O$1&gt;=ROW(H19)-6,"xx",INDEX(TBG!X$2:X$33,ROW(H13)-COUNTIF(H$6:H18,"xx")))</f>
        <v>0</v>
      </c>
      <c r="I19" s="6">
        <f>IF(TBG!P$1&gt;=ROW(I19)-6,"xx",INDEX(TBG!Y$2:Y$33,ROW(I13)-COUNTIF(I$6:I18,"xx")))</f>
        <v>0</v>
      </c>
    </row>
    <row r="20" spans="1:9" ht="16.5" x14ac:dyDescent="0.3">
      <c r="A20" s="6">
        <f>IF(TBG!H$1&gt;=ROW(A20)-6,"xx",INDEX(TBG!Q$2:Q$33,ROW(A14)-COUNTIF(A$6:A19,"xx")))</f>
        <v>0</v>
      </c>
      <c r="B20" s="6">
        <f>IF(TBG!I$1&gt;=ROW(B20)-6,"xx",INDEX(TBG!R$2:R$33,ROW(B14)-COUNTIF(B$6:B19,"xx")))</f>
        <v>0</v>
      </c>
      <c r="C20" s="6">
        <f>IF(TBG!J$1&gt;=ROW(C20)-6,"xx",INDEX(TBG!S$2:S$33,ROW(C14)-COUNTIF(C$6:C19,"xx")))</f>
        <v>0</v>
      </c>
      <c r="D20" s="6">
        <f>IF(TBG!K$1&gt;=ROW(D20)-6,"xx",INDEX(TBG!T$2:T$33,ROW(D14)-COUNTIF(D$6:D19,"xx")))</f>
        <v>0</v>
      </c>
      <c r="E20" s="6">
        <f>IF(TBG!L$1&gt;=ROW(E20)-6,"xx",INDEX(TBG!U$2:U$33,ROW(E14)-COUNTIF(E$6:E19,"xx")))</f>
        <v>0</v>
      </c>
      <c r="F20" s="6">
        <f>IF(TBG!M$1&gt;=ROW(F20)-6,"xx",INDEX(TBG!V$2:V$33,ROW(F14)-COUNTIF(F$6:F19,"xx")))</f>
        <v>0</v>
      </c>
      <c r="G20" s="6">
        <f>IF(TBG!N$1&gt;=ROW(G20)-6,"xx",INDEX(TBG!W$2:W$33,ROW(G14)-COUNTIF(G$6:G19,"xx")))</f>
        <v>0</v>
      </c>
      <c r="H20" s="6">
        <f>IF(TBG!O$1&gt;=ROW(H20)-6,"xx",INDEX(TBG!X$2:X$33,ROW(H14)-COUNTIF(H$6:H19,"xx")))</f>
        <v>0</v>
      </c>
      <c r="I20" s="6">
        <f>IF(TBG!P$1&gt;=ROW(I20)-6,"xx",INDEX(TBG!Y$2:Y$33,ROW(I14)-COUNTIF(I$6:I19,"xx")))</f>
        <v>0</v>
      </c>
    </row>
    <row r="21" spans="1:9" ht="16.5" x14ac:dyDescent="0.3">
      <c r="A21" s="6">
        <f>IF(TBG!H$1&gt;=ROW(A21)-6,"xx",INDEX(TBG!Q$2:Q$33,ROW(A15)-COUNTIF(A$6:A20,"xx")))</f>
        <v>0</v>
      </c>
      <c r="B21" s="6">
        <f>IF(TBG!I$1&gt;=ROW(B21)-6,"xx",INDEX(TBG!R$2:R$33,ROW(B15)-COUNTIF(B$6:B20,"xx")))</f>
        <v>0</v>
      </c>
      <c r="C21" s="6">
        <f>IF(TBG!J$1&gt;=ROW(C21)-6,"xx",INDEX(TBG!S$2:S$33,ROW(C15)-COUNTIF(C$6:C20,"xx")))</f>
        <v>0</v>
      </c>
      <c r="D21" s="6">
        <f>IF(TBG!K$1&gt;=ROW(D21)-6,"xx",INDEX(TBG!T$2:T$33,ROW(D15)-COUNTIF(D$6:D20,"xx")))</f>
        <v>0</v>
      </c>
      <c r="E21" s="6">
        <f>IF(TBG!L$1&gt;=ROW(E21)-6,"xx",INDEX(TBG!U$2:U$33,ROW(E15)-COUNTIF(E$6:E20,"xx")))</f>
        <v>0</v>
      </c>
      <c r="F21" s="6">
        <f>IF(TBG!M$1&gt;=ROW(F21)-6,"xx",INDEX(TBG!V$2:V$33,ROW(F15)-COUNTIF(F$6:F20,"xx")))</f>
        <v>0</v>
      </c>
      <c r="G21" s="6">
        <f>IF(TBG!N$1&gt;=ROW(G21)-6,"xx",INDEX(TBG!W$2:W$33,ROW(G15)-COUNTIF(G$6:G20,"xx")))</f>
        <v>0</v>
      </c>
      <c r="H21" s="6">
        <f>IF(TBG!O$1&gt;=ROW(H21)-6,"xx",INDEX(TBG!X$2:X$33,ROW(H15)-COUNTIF(H$6:H20,"xx")))</f>
        <v>0</v>
      </c>
      <c r="I21" s="6">
        <f>IF(TBG!P$1&gt;=ROW(I21)-6,"xx",INDEX(TBG!Y$2:Y$33,ROW(I15)-COUNTIF(I$6:I20,"xx")))</f>
        <v>0</v>
      </c>
    </row>
    <row r="22" spans="1:9" ht="16.5" x14ac:dyDescent="0.3">
      <c r="A22" s="6">
        <f>IF(TBG!H$1&gt;=ROW(A22)-6,"xx",INDEX(TBG!Q$2:Q$33,ROW(A16)-COUNTIF(A$6:A21,"xx")))</f>
        <v>0</v>
      </c>
      <c r="B22" s="6">
        <f>IF(TBG!I$1&gt;=ROW(B22)-6,"xx",INDEX(TBG!R$2:R$33,ROW(B16)-COUNTIF(B$6:B21,"xx")))</f>
        <v>0</v>
      </c>
      <c r="C22" s="6">
        <f>IF(TBG!J$1&gt;=ROW(C22)-6,"xx",INDEX(TBG!S$2:S$33,ROW(C16)-COUNTIF(C$6:C21,"xx")))</f>
        <v>0</v>
      </c>
      <c r="D22" s="6">
        <f>IF(TBG!K$1&gt;=ROW(D22)-6,"xx",INDEX(TBG!T$2:T$33,ROW(D16)-COUNTIF(D$6:D21,"xx")))</f>
        <v>0</v>
      </c>
      <c r="E22" s="6">
        <f>IF(TBG!L$1&gt;=ROW(E22)-6,"xx",INDEX(TBG!U$2:U$33,ROW(E16)-COUNTIF(E$6:E21,"xx")))</f>
        <v>0</v>
      </c>
      <c r="F22" s="6">
        <f>IF(TBG!M$1&gt;=ROW(F22)-6,"xx",INDEX(TBG!V$2:V$33,ROW(F16)-COUNTIF(F$6:F21,"xx")))</f>
        <v>0</v>
      </c>
      <c r="G22" s="6">
        <f>IF(TBG!N$1&gt;=ROW(G22)-6,"xx",INDEX(TBG!W$2:W$33,ROW(G16)-COUNTIF(G$6:G21,"xx")))</f>
        <v>0</v>
      </c>
      <c r="H22" s="6">
        <f>IF(TBG!O$1&gt;=ROW(H22)-6,"xx",INDEX(TBG!X$2:X$33,ROW(H16)-COUNTIF(H$6:H21,"xx")))</f>
        <v>0</v>
      </c>
      <c r="I22" s="6">
        <f>IF(TBG!P$1&gt;=ROW(I22)-6,"xx",INDEX(TBG!Y$2:Y$33,ROW(I16)-COUNTIF(I$6:I21,"xx")))</f>
        <v>0</v>
      </c>
    </row>
    <row r="23" spans="1:9" ht="16.5" x14ac:dyDescent="0.3">
      <c r="A23" s="6">
        <f>IF(TBG!H$1&gt;=ROW(A23)-6,"xx",INDEX(TBG!Q$2:Q$33,ROW(A17)-COUNTIF(A$6:A22,"xx")))</f>
        <v>0</v>
      </c>
      <c r="B23" s="6">
        <f>IF(TBG!I$1&gt;=ROW(B23)-6,"xx",INDEX(TBG!R$2:R$33,ROW(B17)-COUNTIF(B$6:B22,"xx")))</f>
        <v>0</v>
      </c>
      <c r="C23" s="6">
        <f>IF(TBG!J$1&gt;=ROW(C23)-6,"xx",INDEX(TBG!S$2:S$33,ROW(C17)-COUNTIF(C$6:C22,"xx")))</f>
        <v>0</v>
      </c>
      <c r="D23" s="6">
        <f>IF(TBG!K$1&gt;=ROW(D23)-6,"xx",INDEX(TBG!T$2:T$33,ROW(D17)-COUNTIF(D$6:D22,"xx")))</f>
        <v>0</v>
      </c>
      <c r="E23" s="6">
        <f>IF(TBG!L$1&gt;=ROW(E23)-6,"xx",INDEX(TBG!U$2:U$33,ROW(E17)-COUNTIF(E$6:E22,"xx")))</f>
        <v>0</v>
      </c>
      <c r="F23" s="6">
        <f>IF(TBG!M$1&gt;=ROW(F23)-6,"xx",INDEX(TBG!V$2:V$33,ROW(F17)-COUNTIF(F$6:F22,"xx")))</f>
        <v>0</v>
      </c>
      <c r="G23" s="6">
        <f>IF(TBG!N$1&gt;=ROW(G23)-6,"xx",INDEX(TBG!W$2:W$33,ROW(G17)-COUNTIF(G$6:G22,"xx")))</f>
        <v>0</v>
      </c>
      <c r="H23" s="6">
        <f>IF(TBG!O$1&gt;=ROW(H23)-6,"xx",INDEX(TBG!X$2:X$33,ROW(H17)-COUNTIF(H$6:H22,"xx")))</f>
        <v>0</v>
      </c>
      <c r="I23" s="6">
        <f>IF(TBG!P$1&gt;=ROW(I23)-6,"xx",INDEX(TBG!Y$2:Y$33,ROW(I17)-COUNTIF(I$6:I22,"xx")))</f>
        <v>0</v>
      </c>
    </row>
    <row r="24" spans="1:9" ht="16.5" x14ac:dyDescent="0.3">
      <c r="A24" s="6">
        <f>IF(TBG!H$1&gt;=ROW(A24)-6,"xx",INDEX(TBG!Q$2:Q$33,ROW(A18)-COUNTIF(A$6:A23,"xx")))</f>
        <v>0</v>
      </c>
      <c r="B24" s="6">
        <f>IF(TBG!I$1&gt;=ROW(B24)-6,"xx",INDEX(TBG!R$2:R$33,ROW(B18)-COUNTIF(B$6:B23,"xx")))</f>
        <v>0</v>
      </c>
      <c r="C24" s="6">
        <f>IF(TBG!J$1&gt;=ROW(C24)-6,"xx",INDEX(TBG!S$2:S$33,ROW(C18)-COUNTIF(C$6:C23,"xx")))</f>
        <v>0</v>
      </c>
      <c r="D24" s="6">
        <f>IF(TBG!K$1&gt;=ROW(D24)-6,"xx",INDEX(TBG!T$2:T$33,ROW(D18)-COUNTIF(D$6:D23,"xx")))</f>
        <v>0</v>
      </c>
      <c r="E24" s="6">
        <f>IF(TBG!L$1&gt;=ROW(E24)-6,"xx",INDEX(TBG!U$2:U$33,ROW(E18)-COUNTIF(E$6:E23,"xx")))</f>
        <v>0</v>
      </c>
      <c r="F24" s="6">
        <f>IF(TBG!M$1&gt;=ROW(F24)-6,"xx",INDEX(TBG!V$2:V$33,ROW(F18)-COUNTIF(F$6:F23,"xx")))</f>
        <v>0</v>
      </c>
      <c r="G24" s="6">
        <f>IF(TBG!N$1&gt;=ROW(G24)-6,"xx",INDEX(TBG!W$2:W$33,ROW(G18)-COUNTIF(G$6:G23,"xx")))</f>
        <v>0</v>
      </c>
      <c r="H24" s="6">
        <f>IF(TBG!O$1&gt;=ROW(H24)-6,"xx",INDEX(TBG!X$2:X$33,ROW(H18)-COUNTIF(H$6:H23,"xx")))</f>
        <v>0</v>
      </c>
      <c r="I24" s="6">
        <f>IF(TBG!P$1&gt;=ROW(I24)-6,"xx",INDEX(TBG!Y$2:Y$33,ROW(I18)-COUNTIF(I$6:I23,"xx")))</f>
        <v>0</v>
      </c>
    </row>
    <row r="25" spans="1:9" ht="16.5" x14ac:dyDescent="0.3">
      <c r="A25" s="6">
        <f>IF(TBG!H$1&gt;=ROW(A25)-6,"xx",INDEX(TBG!Q$2:Q$33,ROW(A19)-COUNTIF(A$6:A24,"xx")))</f>
        <v>0</v>
      </c>
      <c r="B25" s="6">
        <f>IF(TBG!I$1&gt;=ROW(B25)-6,"xx",INDEX(TBG!R$2:R$33,ROW(B19)-COUNTIF(B$6:B24,"xx")))</f>
        <v>0</v>
      </c>
      <c r="C25" s="6">
        <f>IF(TBG!J$1&gt;=ROW(C25)-6,"xx",INDEX(TBG!S$2:S$33,ROW(C19)-COUNTIF(C$6:C24,"xx")))</f>
        <v>0</v>
      </c>
      <c r="D25" s="6">
        <f>IF(TBG!K$1&gt;=ROW(D25)-6,"xx",INDEX(TBG!T$2:T$33,ROW(D19)-COUNTIF(D$6:D24,"xx")))</f>
        <v>0</v>
      </c>
      <c r="E25" s="6">
        <f>IF(TBG!L$1&gt;=ROW(E25)-6,"xx",INDEX(TBG!U$2:U$33,ROW(E19)-COUNTIF(E$6:E24,"xx")))</f>
        <v>0</v>
      </c>
      <c r="F25" s="6">
        <f>IF(TBG!M$1&gt;=ROW(F25)-6,"xx",INDEX(TBG!V$2:V$33,ROW(F19)-COUNTIF(F$6:F24,"xx")))</f>
        <v>0</v>
      </c>
      <c r="G25" s="6">
        <f>IF(TBG!N$1&gt;=ROW(G25)-6,"xx",INDEX(TBG!W$2:W$33,ROW(G19)-COUNTIF(G$6:G24,"xx")))</f>
        <v>0</v>
      </c>
      <c r="H25" s="6">
        <f>IF(TBG!O$1&gt;=ROW(H25)-6,"xx",INDEX(TBG!X$2:X$33,ROW(H19)-COUNTIF(H$6:H24,"xx")))</f>
        <v>0</v>
      </c>
      <c r="I25" s="6">
        <f>IF(TBG!P$1&gt;=ROW(I25)-6,"xx",INDEX(TBG!Y$2:Y$33,ROW(I19)-COUNTIF(I$6:I24,"xx")))</f>
        <v>0</v>
      </c>
    </row>
    <row r="26" spans="1:9" ht="16.5" x14ac:dyDescent="0.3">
      <c r="A26" s="6">
        <f>IF(TBG!H$1&gt;=ROW(A26)-6,"xx",INDEX(TBG!Q$2:Q$33,ROW(A20)-COUNTIF(A$6:A25,"xx")))</f>
        <v>0</v>
      </c>
      <c r="B26" s="6">
        <f>IF(TBG!I$1&gt;=ROW(B26)-6,"xx",INDEX(TBG!R$2:R$33,ROW(B20)-COUNTIF(B$6:B25,"xx")))</f>
        <v>0</v>
      </c>
      <c r="C26" s="6">
        <f>IF(TBG!J$1&gt;=ROW(C26)-6,"xx",INDEX(TBG!S$2:S$33,ROW(C20)-COUNTIF(C$6:C25,"xx")))</f>
        <v>0</v>
      </c>
      <c r="D26" s="6">
        <f>IF(TBG!K$1&gt;=ROW(D26)-6,"xx",INDEX(TBG!T$2:T$33,ROW(D20)-COUNTIF(D$6:D25,"xx")))</f>
        <v>0</v>
      </c>
      <c r="E26" s="6">
        <f>IF(TBG!L$1&gt;=ROW(E26)-6,"xx",INDEX(TBG!U$2:U$33,ROW(E20)-COUNTIF(E$6:E25,"xx")))</f>
        <v>0</v>
      </c>
      <c r="F26" s="6">
        <f>IF(TBG!M$1&gt;=ROW(F26)-6,"xx",INDEX(TBG!V$2:V$33,ROW(F20)-COUNTIF(F$6:F25,"xx")))</f>
        <v>0</v>
      </c>
      <c r="G26" s="6">
        <f>IF(TBG!N$1&gt;=ROW(G26)-6,"xx",INDEX(TBG!W$2:W$33,ROW(G20)-COUNTIF(G$6:G25,"xx")))</f>
        <v>0</v>
      </c>
      <c r="H26" s="6">
        <f>IF(TBG!O$1&gt;=ROW(H26)-6,"xx",INDEX(TBG!X$2:X$33,ROW(H20)-COUNTIF(H$6:H25,"xx")))</f>
        <v>0</v>
      </c>
      <c r="I26" s="6">
        <f>IF(TBG!P$1&gt;=ROW(I26)-6,"xx",INDEX(TBG!Y$2:Y$33,ROW(I20)-COUNTIF(I$6:I25,"xx")))</f>
        <v>0</v>
      </c>
    </row>
    <row r="27" spans="1:9" ht="16.5" x14ac:dyDescent="0.3">
      <c r="A27" s="6">
        <f>IF(TBG!H$1&gt;=ROW(A27)-6,"xx",INDEX(TBG!Q$2:Q$33,ROW(A21)-COUNTIF(A$6:A26,"xx")))</f>
        <v>0</v>
      </c>
      <c r="B27" s="6">
        <f>IF(TBG!I$1&gt;=ROW(B27)-6,"xx",INDEX(TBG!R$2:R$33,ROW(B21)-COUNTIF(B$6:B26,"xx")))</f>
        <v>0</v>
      </c>
      <c r="C27" s="6">
        <f>IF(TBG!J$1&gt;=ROW(C27)-6,"xx",INDEX(TBG!S$2:S$33,ROW(C21)-COUNTIF(C$6:C26,"xx")))</f>
        <v>0</v>
      </c>
      <c r="D27" s="6">
        <f>IF(TBG!K$1&gt;=ROW(D27)-6,"xx",INDEX(TBG!T$2:T$33,ROW(D21)-COUNTIF(D$6:D26,"xx")))</f>
        <v>0</v>
      </c>
      <c r="E27" s="6">
        <f>IF(TBG!L$1&gt;=ROW(E27)-6,"xx",INDEX(TBG!U$2:U$33,ROW(E21)-COUNTIF(E$6:E26,"xx")))</f>
        <v>0</v>
      </c>
      <c r="F27" s="6">
        <f>IF(TBG!M$1&gt;=ROW(F27)-6,"xx",INDEX(TBG!V$2:V$33,ROW(F21)-COUNTIF(F$6:F26,"xx")))</f>
        <v>0</v>
      </c>
      <c r="G27" s="6">
        <f>IF(TBG!N$1&gt;=ROW(G27)-6,"xx",INDEX(TBG!W$2:W$33,ROW(G21)-COUNTIF(G$6:G26,"xx")))</f>
        <v>0</v>
      </c>
      <c r="H27" s="6">
        <f>IF(TBG!O$1&gt;=ROW(H27)-6,"xx",INDEX(TBG!X$2:X$33,ROW(H21)-COUNTIF(H$6:H26,"xx")))</f>
        <v>0</v>
      </c>
      <c r="I27" s="6">
        <f>IF(TBG!P$1&gt;=ROW(I27)-6,"xx",INDEX(TBG!Y$2:Y$33,ROW(I21)-COUNTIF(I$6:I26,"xx")))</f>
        <v>0</v>
      </c>
    </row>
    <row r="28" spans="1:9" ht="16.5" x14ac:dyDescent="0.3">
      <c r="A28" s="6">
        <f>IF(TBG!H$1&gt;=ROW(A28)-6,"xx",INDEX(TBG!Q$2:Q$33,ROW(A22)-COUNTIF(A$6:A27,"xx")))</f>
        <v>0</v>
      </c>
      <c r="B28" s="6">
        <f>IF(TBG!I$1&gt;=ROW(B28)-6,"xx",INDEX(TBG!R$2:R$33,ROW(B22)-COUNTIF(B$6:B27,"xx")))</f>
        <v>0</v>
      </c>
      <c r="C28" s="6">
        <f>IF(TBG!J$1&gt;=ROW(C28)-6,"xx",INDEX(TBG!S$2:S$33,ROW(C22)-COUNTIF(C$6:C27,"xx")))</f>
        <v>0</v>
      </c>
      <c r="D28" s="6">
        <f>IF(TBG!K$1&gt;=ROW(D28)-6,"xx",INDEX(TBG!T$2:T$33,ROW(D22)-COUNTIF(D$6:D27,"xx")))</f>
        <v>0</v>
      </c>
      <c r="E28" s="6">
        <f>IF(TBG!L$1&gt;=ROW(E28)-6,"xx",INDEX(TBG!U$2:U$33,ROW(E22)-COUNTIF(E$6:E27,"xx")))</f>
        <v>0</v>
      </c>
      <c r="F28" s="6">
        <f>IF(TBG!M$1&gt;=ROW(F28)-6,"xx",INDEX(TBG!V$2:V$33,ROW(F22)-COUNTIF(F$6:F27,"xx")))</f>
        <v>0</v>
      </c>
      <c r="G28" s="6">
        <f>IF(TBG!N$1&gt;=ROW(G28)-6,"xx",INDEX(TBG!W$2:W$33,ROW(G22)-COUNTIF(G$6:G27,"xx")))</f>
        <v>0</v>
      </c>
      <c r="H28" s="6">
        <f>IF(TBG!O$1&gt;=ROW(H28)-6,"xx",INDEX(TBG!X$2:X$33,ROW(H22)-COUNTIF(H$6:H27,"xx")))</f>
        <v>0</v>
      </c>
      <c r="I28" s="6">
        <f>IF(TBG!P$1&gt;=ROW(I28)-6,"xx",INDEX(TBG!Y$2:Y$33,ROW(I22)-COUNTIF(I$6:I27,"xx")))</f>
        <v>0</v>
      </c>
    </row>
    <row r="29" spans="1:9" ht="16.5" x14ac:dyDescent="0.3">
      <c r="A29" s="6">
        <f>IF(TBG!H$1&gt;=ROW(A29)-6,"xx",INDEX(TBG!Q$2:Q$33,ROW(A23)-COUNTIF(A$6:A28,"xx")))</f>
        <v>0</v>
      </c>
      <c r="B29" s="6">
        <f>IF(TBG!I$1&gt;=ROW(B29)-6,"xx",INDEX(TBG!R$2:R$33,ROW(B23)-COUNTIF(B$6:B28,"xx")))</f>
        <v>0</v>
      </c>
      <c r="C29" s="6">
        <f>IF(TBG!J$1&gt;=ROW(C29)-6,"xx",INDEX(TBG!S$2:S$33,ROW(C23)-COUNTIF(C$6:C28,"xx")))</f>
        <v>0</v>
      </c>
      <c r="D29" s="6">
        <f>IF(TBG!K$1&gt;=ROW(D29)-6,"xx",INDEX(TBG!T$2:T$33,ROW(D23)-COUNTIF(D$6:D28,"xx")))</f>
        <v>0</v>
      </c>
      <c r="E29" s="6">
        <f>IF(TBG!L$1&gt;=ROW(E29)-6,"xx",INDEX(TBG!U$2:U$33,ROW(E23)-COUNTIF(E$6:E28,"xx")))</f>
        <v>0</v>
      </c>
      <c r="F29" s="6">
        <f>IF(TBG!M$1&gt;=ROW(F29)-6,"xx",INDEX(TBG!V$2:V$33,ROW(F23)-COUNTIF(F$6:F28,"xx")))</f>
        <v>0</v>
      </c>
      <c r="G29" s="6">
        <f>IF(TBG!N$1&gt;=ROW(G29)-6,"xx",INDEX(TBG!W$2:W$33,ROW(G23)-COUNTIF(G$6:G28,"xx")))</f>
        <v>0</v>
      </c>
      <c r="H29" s="6">
        <f>IF(TBG!O$1&gt;=ROW(H29)-6,"xx",INDEX(TBG!X$2:X$33,ROW(H23)-COUNTIF(H$6:H28,"xx")))</f>
        <v>0</v>
      </c>
      <c r="I29" s="6">
        <f>IF(TBG!P$1&gt;=ROW(I29)-6,"xx",INDEX(TBG!Y$2:Y$33,ROW(I23)-COUNTIF(I$6:I28,"xx")))</f>
        <v>0</v>
      </c>
    </row>
    <row r="30" spans="1:9" ht="16.5" x14ac:dyDescent="0.3">
      <c r="A30" s="6">
        <f>IF(TBG!H$1&gt;=ROW(A30)-6,"xx",INDEX(TBG!Q$2:Q$33,ROW(A24)-COUNTIF(A$6:A29,"xx")))</f>
        <v>0</v>
      </c>
      <c r="B30" s="6">
        <f>IF(TBG!I$1&gt;=ROW(B30)-6,"xx",INDEX(TBG!R$2:R$33,ROW(B24)-COUNTIF(B$6:B29,"xx")))</f>
        <v>0</v>
      </c>
      <c r="C30" s="6">
        <f>IF(TBG!J$1&gt;=ROW(C30)-6,"xx",INDEX(TBG!S$2:S$33,ROW(C24)-COUNTIF(C$6:C29,"xx")))</f>
        <v>0</v>
      </c>
      <c r="D30" s="6">
        <f>IF(TBG!K$1&gt;=ROW(D30)-6,"xx",INDEX(TBG!T$2:T$33,ROW(D24)-COUNTIF(D$6:D29,"xx")))</f>
        <v>0</v>
      </c>
      <c r="E30" s="6">
        <f>IF(TBG!L$1&gt;=ROW(E30)-6,"xx",INDEX(TBG!U$2:U$33,ROW(E24)-COUNTIF(E$6:E29,"xx")))</f>
        <v>0</v>
      </c>
      <c r="F30" s="6">
        <f>IF(TBG!M$1&gt;=ROW(F30)-6,"xx",INDEX(TBG!V$2:V$33,ROW(F24)-COUNTIF(F$6:F29,"xx")))</f>
        <v>0</v>
      </c>
      <c r="G30" s="6">
        <f>IF(TBG!N$1&gt;=ROW(G30)-6,"xx",INDEX(TBG!W$2:W$33,ROW(G24)-COUNTIF(G$6:G29,"xx")))</f>
        <v>0</v>
      </c>
      <c r="H30" s="6">
        <f>IF(TBG!O$1&gt;=ROW(H30)-6,"xx",INDEX(TBG!X$2:X$33,ROW(H24)-COUNTIF(H$6:H29,"xx")))</f>
        <v>0</v>
      </c>
      <c r="I30" s="6">
        <f>IF(TBG!P$1&gt;=ROW(I30)-6,"xx",INDEX(TBG!Y$2:Y$33,ROW(I24)-COUNTIF(I$6:I29,"xx")))</f>
        <v>0</v>
      </c>
    </row>
    <row r="31" spans="1:9" ht="16.5" x14ac:dyDescent="0.3">
      <c r="A31" s="6">
        <f>IF(TBG!H$1&gt;=ROW(A31)-6,"xx",INDEX(TBG!Q$2:Q$33,ROW(A25)-COUNTIF(A$6:A30,"xx")))</f>
        <v>0</v>
      </c>
      <c r="B31" s="6">
        <f>IF(TBG!I$1&gt;=ROW(B31)-6,"xx",INDEX(TBG!R$2:R$33,ROW(B25)-COUNTIF(B$6:B30,"xx")))</f>
        <v>0</v>
      </c>
      <c r="C31" s="6">
        <f>IF(TBG!J$1&gt;=ROW(C31)-6,"xx",INDEX(TBG!S$2:S$33,ROW(C25)-COUNTIF(C$6:C30,"xx")))</f>
        <v>0</v>
      </c>
      <c r="D31" s="6">
        <f>IF(TBG!K$1&gt;=ROW(D31)-6,"xx",INDEX(TBG!T$2:T$33,ROW(D25)-COUNTIF(D$6:D30,"xx")))</f>
        <v>0</v>
      </c>
      <c r="E31" s="6">
        <f>IF(TBG!L$1&gt;=ROW(E31)-6,"xx",INDEX(TBG!U$2:U$33,ROW(E25)-COUNTIF(E$6:E30,"xx")))</f>
        <v>0</v>
      </c>
      <c r="F31" s="6">
        <f>IF(TBG!M$1&gt;=ROW(F31)-6,"xx",INDEX(TBG!V$2:V$33,ROW(F25)-COUNTIF(F$6:F30,"xx")))</f>
        <v>0</v>
      </c>
      <c r="G31" s="6">
        <f>IF(TBG!N$1&gt;=ROW(G31)-6,"xx",INDEX(TBG!W$2:W$33,ROW(G25)-COUNTIF(G$6:G30,"xx")))</f>
        <v>0</v>
      </c>
      <c r="H31" s="6">
        <f>IF(TBG!O$1&gt;=ROW(H31)-6,"xx",INDEX(TBG!X$2:X$33,ROW(H25)-COUNTIF(H$6:H30,"xx")))</f>
        <v>0</v>
      </c>
      <c r="I31" s="6">
        <f>IF(TBG!P$1&gt;=ROW(I31)-6,"xx",INDEX(TBG!Y$2:Y$33,ROW(I25)-COUNTIF(I$6:I30,"xx")))</f>
        <v>0</v>
      </c>
    </row>
    <row r="32" spans="1:9" ht="16.5" x14ac:dyDescent="0.3">
      <c r="A32" s="6">
        <f>IF(TBG!H$1&gt;=ROW(A32)-6,"xx",INDEX(TBG!Q$2:Q$33,ROW(A26)-COUNTIF(A$6:A31,"xx")))</f>
        <v>0</v>
      </c>
      <c r="B32" s="6">
        <f>IF(TBG!I$1&gt;=ROW(B32)-6,"xx",INDEX(TBG!R$2:R$33,ROW(B26)-COUNTIF(B$6:B31,"xx")))</f>
        <v>0</v>
      </c>
      <c r="C32" s="6">
        <f>IF(TBG!J$1&gt;=ROW(C32)-6,"xx",INDEX(TBG!S$2:S$33,ROW(C26)-COUNTIF(C$6:C31,"xx")))</f>
        <v>0</v>
      </c>
      <c r="D32" s="6">
        <f>IF(TBG!K$1&gt;=ROW(D32)-6,"xx",INDEX(TBG!T$2:T$33,ROW(D26)-COUNTIF(D$6:D31,"xx")))</f>
        <v>0</v>
      </c>
      <c r="E32" s="6">
        <f>IF(TBG!L$1&gt;=ROW(E32)-6,"xx",INDEX(TBG!U$2:U$33,ROW(E26)-COUNTIF(E$6:E31,"xx")))</f>
        <v>0</v>
      </c>
      <c r="F32" s="6">
        <f>IF(TBG!M$1&gt;=ROW(F32)-6,"xx",INDEX(TBG!V$2:V$33,ROW(F26)-COUNTIF(F$6:F31,"xx")))</f>
        <v>0</v>
      </c>
      <c r="G32" s="6">
        <f>IF(TBG!N$1&gt;=ROW(G32)-6,"xx",INDEX(TBG!W$2:W$33,ROW(G26)-COUNTIF(G$6:G31,"xx")))</f>
        <v>0</v>
      </c>
      <c r="H32" s="6">
        <f>IF(TBG!O$1&gt;=ROW(H32)-6,"xx",INDEX(TBG!X$2:X$33,ROW(H26)-COUNTIF(H$6:H31,"xx")))</f>
        <v>0</v>
      </c>
      <c r="I32" s="6">
        <f>IF(TBG!P$1&gt;=ROW(I32)-6,"xx",INDEX(TBG!Y$2:Y$33,ROW(I26)-COUNTIF(I$6:I31,"xx")))</f>
        <v>0</v>
      </c>
    </row>
    <row r="33" spans="1:9" ht="16.5" x14ac:dyDescent="0.3">
      <c r="A33" s="6">
        <f>IF(TBG!H$1&gt;=ROW(A33)-6,"xx",INDEX(TBG!Q$2:Q$33,ROW(A27)-COUNTIF(A$6:A32,"xx")))</f>
        <v>0</v>
      </c>
      <c r="B33" s="6">
        <f>IF(TBG!I$1&gt;=ROW(B33)-6,"xx",INDEX(TBG!R$2:R$33,ROW(B27)-COUNTIF(B$6:B32,"xx")))</f>
        <v>0</v>
      </c>
      <c r="C33" s="6">
        <f>IF(TBG!J$1&gt;=ROW(C33)-6,"xx",INDEX(TBG!S$2:S$33,ROW(C27)-COUNTIF(C$6:C32,"xx")))</f>
        <v>0</v>
      </c>
      <c r="D33" s="6">
        <f>IF(TBG!K$1&gt;=ROW(D33)-6,"xx",INDEX(TBG!T$2:T$33,ROW(D27)-COUNTIF(D$6:D32,"xx")))</f>
        <v>0</v>
      </c>
      <c r="E33" s="6">
        <f>IF(TBG!L$1&gt;=ROW(E33)-6,"xx",INDEX(TBG!U$2:U$33,ROW(E27)-COUNTIF(E$6:E32,"xx")))</f>
        <v>0</v>
      </c>
      <c r="F33" s="6">
        <f>IF(TBG!M$1&gt;=ROW(F33)-6,"xx",INDEX(TBG!V$2:V$33,ROW(F27)-COUNTIF(F$6:F32,"xx")))</f>
        <v>0</v>
      </c>
      <c r="G33" s="6">
        <f>IF(TBG!N$1&gt;=ROW(G33)-6,"xx",INDEX(TBG!W$2:W$33,ROW(G27)-COUNTIF(G$6:G32,"xx")))</f>
        <v>0</v>
      </c>
      <c r="H33" s="6">
        <f>IF(TBG!O$1&gt;=ROW(H33)-6,"xx",INDEX(TBG!X$2:X$33,ROW(H27)-COUNTIF(H$6:H32,"xx")))</f>
        <v>0</v>
      </c>
      <c r="I33" s="6">
        <f>IF(TBG!P$1&gt;=ROW(I33)-6,"xx",INDEX(TBG!Y$2:Y$33,ROW(I27)-COUNTIF(I$6:I32,"xx")))</f>
        <v>0</v>
      </c>
    </row>
    <row r="34" spans="1:9" ht="16.5" x14ac:dyDescent="0.3">
      <c r="A34" s="6">
        <f>IF(TBG!H$1&gt;=ROW(A34)-6,"xx",INDEX(TBG!Q$2:Q$33,ROW(A28)-COUNTIF(A$6:A33,"xx")))</f>
        <v>0</v>
      </c>
      <c r="B34" s="6">
        <f>IF(TBG!I$1&gt;=ROW(B34)-6,"xx",INDEX(TBG!R$2:R$33,ROW(B28)-COUNTIF(B$6:B33,"xx")))</f>
        <v>0</v>
      </c>
      <c r="C34" s="6">
        <f>IF(TBG!J$1&gt;=ROW(C34)-6,"xx",INDEX(TBG!S$2:S$33,ROW(C28)-COUNTIF(C$6:C33,"xx")))</f>
        <v>0</v>
      </c>
      <c r="D34" s="6">
        <f>IF(TBG!K$1&gt;=ROW(D34)-6,"xx",INDEX(TBG!T$2:T$33,ROW(D28)-COUNTIF(D$6:D33,"xx")))</f>
        <v>0</v>
      </c>
      <c r="E34" s="6">
        <f>IF(TBG!L$1&gt;=ROW(E34)-6,"xx",INDEX(TBG!U$2:U$33,ROW(E28)-COUNTIF(E$6:E33,"xx")))</f>
        <v>0</v>
      </c>
      <c r="F34" s="6">
        <f>IF(TBG!M$1&gt;=ROW(F34)-6,"xx",INDEX(TBG!V$2:V$33,ROW(F28)-COUNTIF(F$6:F33,"xx")))</f>
        <v>0</v>
      </c>
      <c r="G34" s="6">
        <f>IF(TBG!N$1&gt;=ROW(G34)-6,"xx",INDEX(TBG!W$2:W$33,ROW(G28)-COUNTIF(G$6:G33,"xx")))</f>
        <v>0</v>
      </c>
      <c r="H34" s="6">
        <f>IF(TBG!O$1&gt;=ROW(H34)-6,"xx",INDEX(TBG!X$2:X$33,ROW(H28)-COUNTIF(H$6:H33,"xx")))</f>
        <v>0</v>
      </c>
      <c r="I34" s="6">
        <f>IF(TBG!P$1&gt;=ROW(I34)-6,"xx",INDEX(TBG!Y$2:Y$33,ROW(I28)-COUNTIF(I$6:I33,"xx")))</f>
        <v>0</v>
      </c>
    </row>
    <row r="35" spans="1:9" ht="16.5" x14ac:dyDescent="0.3">
      <c r="A35" s="6">
        <f>IF(TBG!H$1&gt;=ROW(A35)-6,"xx",INDEX(TBG!Q$2:Q$33,ROW(A29)-COUNTIF(A$6:A34,"xx")))</f>
        <v>0</v>
      </c>
      <c r="B35" s="6">
        <f>IF(TBG!I$1&gt;=ROW(B35)-6,"xx",INDEX(TBG!R$2:R$33,ROW(B29)-COUNTIF(B$6:B34,"xx")))</f>
        <v>0</v>
      </c>
      <c r="C35" s="6">
        <f>IF(TBG!J$1&gt;=ROW(C35)-6,"xx",INDEX(TBG!S$2:S$33,ROW(C29)-COUNTIF(C$6:C34,"xx")))</f>
        <v>0</v>
      </c>
      <c r="D35" s="6">
        <f>IF(TBG!K$1&gt;=ROW(D35)-6,"xx",INDEX(TBG!T$2:T$33,ROW(D29)-COUNTIF(D$6:D34,"xx")))</f>
        <v>0</v>
      </c>
      <c r="E35" s="6">
        <f>IF(TBG!L$1&gt;=ROW(E35)-6,"xx",INDEX(TBG!U$2:U$33,ROW(E29)-COUNTIF(E$6:E34,"xx")))</f>
        <v>0</v>
      </c>
      <c r="F35" s="6">
        <f>IF(TBG!M$1&gt;=ROW(F35)-6,"xx",INDEX(TBG!V$2:V$33,ROW(F29)-COUNTIF(F$6:F34,"xx")))</f>
        <v>0</v>
      </c>
      <c r="G35" s="6">
        <f>IF(TBG!N$1&gt;=ROW(G35)-6,"xx",INDEX(TBG!W$2:W$33,ROW(G29)-COUNTIF(G$6:G34,"xx")))</f>
        <v>0</v>
      </c>
      <c r="H35" s="6">
        <f>IF(TBG!O$1&gt;=ROW(H35)-6,"xx",INDEX(TBG!X$2:X$33,ROW(H29)-COUNTIF(H$6:H34,"xx")))</f>
        <v>0</v>
      </c>
      <c r="I35" s="6">
        <f>IF(TBG!P$1&gt;=ROW(I35)-6,"xx",INDEX(TBG!Y$2:Y$33,ROW(I29)-COUNTIF(I$6:I34,"xx")))</f>
        <v>0</v>
      </c>
    </row>
    <row r="36" spans="1:9" ht="16.5" x14ac:dyDescent="0.3">
      <c r="A36" s="6">
        <f>IF(TBG!H$1&gt;=ROW(A36)-6,"xx",INDEX(TBG!Q$2:Q$33,ROW(A30)-COUNTIF(A$6:A35,"xx")))</f>
        <v>0</v>
      </c>
      <c r="B36" s="6">
        <f>IF(TBG!I$1&gt;=ROW(B36)-6,"xx",INDEX(TBG!R$2:R$33,ROW(B30)-COUNTIF(B$6:B35,"xx")))</f>
        <v>0</v>
      </c>
      <c r="C36" s="6">
        <f>IF(TBG!J$1&gt;=ROW(C36)-6,"xx",INDEX(TBG!S$2:S$33,ROW(C30)-COUNTIF(C$6:C35,"xx")))</f>
        <v>0</v>
      </c>
      <c r="D36" s="6">
        <f>IF(TBG!K$1&gt;=ROW(D36)-6,"xx",INDEX(TBG!T$2:T$33,ROW(D30)-COUNTIF(D$6:D35,"xx")))</f>
        <v>0</v>
      </c>
      <c r="E36" s="6">
        <f>IF(TBG!L$1&gt;=ROW(E36)-6,"xx",INDEX(TBG!U$2:U$33,ROW(E30)-COUNTIF(E$6:E35,"xx")))</f>
        <v>0</v>
      </c>
      <c r="F36" s="6">
        <f>IF(TBG!M$1&gt;=ROW(F36)-6,"xx",INDEX(TBG!V$2:V$33,ROW(F30)-COUNTIF(F$6:F35,"xx")))</f>
        <v>0</v>
      </c>
      <c r="G36" s="6">
        <f>IF(TBG!N$1&gt;=ROW(G36)-6,"xx",INDEX(TBG!W$2:W$33,ROW(G30)-COUNTIF(G$6:G35,"xx")))</f>
        <v>0</v>
      </c>
      <c r="H36" s="6">
        <f>IF(TBG!O$1&gt;=ROW(H36)-6,"xx",INDEX(TBG!X$2:X$33,ROW(H30)-COUNTIF(H$6:H35,"xx")))</f>
        <v>0</v>
      </c>
      <c r="I36" s="6">
        <f>IF(TBG!P$1&gt;=ROW(I36)-6,"xx",INDEX(TBG!Y$2:Y$33,ROW(I30)-COUNTIF(I$6:I35,"xx")))</f>
        <v>0</v>
      </c>
    </row>
    <row r="37" spans="1:9" ht="16.5" x14ac:dyDescent="0.3">
      <c r="A37" s="6">
        <f>IF(TBG!H$1&gt;=ROW(A37)-6,"xx",INDEX(TBG!Q$2:Q$33,ROW(A31)-COUNTIF(A$6:A36,"xx")))</f>
        <v>0</v>
      </c>
      <c r="B37" s="6">
        <f>IF(TBG!I$1&gt;=ROW(B37)-6,"xx",INDEX(TBG!R$2:R$33,ROW(B31)-COUNTIF(B$6:B36,"xx")))</f>
        <v>0</v>
      </c>
      <c r="C37" s="6">
        <f>IF(TBG!J$1&gt;=ROW(C37)-6,"xx",INDEX(TBG!S$2:S$33,ROW(C31)-COUNTIF(C$6:C36,"xx")))</f>
        <v>0</v>
      </c>
      <c r="D37" s="6">
        <f>IF(TBG!K$1&gt;=ROW(D37)-6,"xx",INDEX(TBG!T$2:T$33,ROW(D31)-COUNTIF(D$6:D36,"xx")))</f>
        <v>0</v>
      </c>
      <c r="E37" s="6">
        <f>IF(TBG!L$1&gt;=ROW(E37)-6,"xx",INDEX(TBG!U$2:U$33,ROW(E31)-COUNTIF(E$6:E36,"xx")))</f>
        <v>0</v>
      </c>
      <c r="F37" s="6">
        <f>IF(TBG!M$1&gt;=ROW(F37)-6,"xx",INDEX(TBG!V$2:V$33,ROW(F31)-COUNTIF(F$6:F36,"xx")))</f>
        <v>0</v>
      </c>
      <c r="G37" s="6">
        <f>IF(TBG!N$1&gt;=ROW(G37)-6,"xx",INDEX(TBG!W$2:W$33,ROW(G31)-COUNTIF(G$6:G36,"xx")))</f>
        <v>0</v>
      </c>
      <c r="H37" s="6">
        <f>IF(TBG!O$1&gt;=ROW(H37)-6,"xx",INDEX(TBG!X$2:X$33,ROW(H31)-COUNTIF(H$6:H36,"xx")))</f>
        <v>0</v>
      </c>
      <c r="I37" s="6">
        <f>IF(TBG!P$1&gt;=ROW(I37)-6,"xx",INDEX(TBG!Y$2:Y$33,ROW(I31)-COUNTIF(I$6:I36,"xx")))</f>
        <v>0</v>
      </c>
    </row>
    <row r="38" spans="1:9" ht="16.5" x14ac:dyDescent="0.3">
      <c r="A38" s="6">
        <f>IF(TBG!H$1&gt;=ROW(A38)-6,"xx",INDEX(TBG!Q$2:Q$33,ROW(A32)-COUNTIF(A$6:A37,"xx")))</f>
        <v>0</v>
      </c>
      <c r="B38" s="6">
        <f>IF(TBG!I$1&gt;=ROW(B38)-6,"xx",INDEX(TBG!R$2:R$33,ROW(B32)-COUNTIF(B$6:B37,"xx")))</f>
        <v>0</v>
      </c>
      <c r="C38" s="6">
        <f>IF(TBG!J$1&gt;=ROW(C38)-6,"xx",INDEX(TBG!S$2:S$33,ROW(C32)-COUNTIF(C$6:C37,"xx")))</f>
        <v>0</v>
      </c>
      <c r="D38" s="6">
        <f>IF(TBG!K$1&gt;=ROW(D38)-6,"xx",INDEX(TBG!T$2:T$33,ROW(D32)-COUNTIF(D$6:D37,"xx")))</f>
        <v>0</v>
      </c>
      <c r="E38" s="6">
        <f>IF(TBG!L$1&gt;=ROW(E38)-6,"xx",INDEX(TBG!U$2:U$33,ROW(E32)-COUNTIF(E$6:E37,"xx")))</f>
        <v>0</v>
      </c>
      <c r="F38" s="6">
        <f>IF(TBG!M$1&gt;=ROW(F38)-6,"xx",INDEX(TBG!V$2:V$33,ROW(F32)-COUNTIF(F$6:F37,"xx")))</f>
        <v>0</v>
      </c>
      <c r="G38" s="6">
        <f>IF(TBG!N$1&gt;=ROW(G38)-6,"xx",INDEX(TBG!W$2:W$33,ROW(G32)-COUNTIF(G$6:G37,"xx")))</f>
        <v>0</v>
      </c>
      <c r="H38" s="6">
        <f>IF(TBG!O$1&gt;=ROW(H38)-6,"xx",INDEX(TBG!X$2:X$33,ROW(H32)-COUNTIF(H$6:H37,"xx")))</f>
        <v>0</v>
      </c>
      <c r="I38" s="6">
        <f>IF(TBG!P$1&gt;=ROW(I38)-6,"xx",INDEX(TBG!Y$2:Y$33,ROW(I32)-COUNTIF(I$6:I37,"xx")))</f>
        <v>0</v>
      </c>
    </row>
  </sheetData>
  <conditionalFormatting sqref="A7:I38">
    <cfRule type="expression" dxfId="4" priority="5">
      <formula>A7=0</formula>
    </cfRule>
  </conditionalFormatting>
  <conditionalFormatting sqref="B1:C1">
    <cfRule type="expression" dxfId="3" priority="1">
      <formula>B1=0</formula>
    </cfRule>
  </conditionalFormatting>
  <conditionalFormatting sqref="B1:C1">
    <cfRule type="expression" dxfId="2" priority="2">
      <formula>OR(RIGHT(B1,1)="♦",RIGHT(B1,1)="♥")</formula>
    </cfRule>
  </conditionalFormatting>
  <conditionalFormatting sqref="A1:I38">
    <cfRule type="expression" dxfId="1" priority="3">
      <formula>NOT(OR(RIGHT(A1,1)="0",RIGHT(A1,2)="xx",RIGHT(A1,1)="★",RIGHT(A1,1)="☕",RIGHT(A1,1)="♣",RIGHT(A1,1)="⚔"))</formula>
    </cfRule>
    <cfRule type="expression" dxfId="0" priority="4">
      <formula>OR(RIGHT(A1,1)="★",RIGHT(A1,1)="☕")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tdraw3">
                <anchor moveWithCells="1" siz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tflip1">
                <anchor moveWithCells="1" siz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1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tflip2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2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 macro="[0]!tflip3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3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Button 5">
              <controlPr defaultSize="0" print="0" autoFill="0" autoPict="0" macro="[0]!tflip4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4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Button 6">
              <controlPr defaultSize="0" print="0" autoFill="0" autoPict="0" macro="[0]!tflip5">
                <anchor moveWithCells="1" sizeWithCells="1">
                  <from>
                    <xdr:col>4</xdr:col>
                    <xdr:colOff>9525</xdr:colOff>
                    <xdr:row>5</xdr:row>
                    <xdr:rowOff>9525</xdr:rowOff>
                  </from>
                  <to>
                    <xdr:col>5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Button 7">
              <controlPr defaultSize="0" print="0" autoFill="0" autoPict="0" macro="[0]!tflip6">
                <anchor moveWithCells="1" sizeWithCells="1">
                  <from>
                    <xdr:col>5</xdr:col>
                    <xdr:colOff>9525</xdr:colOff>
                    <xdr:row>5</xdr:row>
                    <xdr:rowOff>9525</xdr:rowOff>
                  </from>
                  <to>
                    <xdr:col>6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Button 8">
              <controlPr defaultSize="0" print="0" autoFill="0" autoPict="0" macro="[0]!tflip7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Button 9">
              <controlPr defaultSize="0" print="0" autoFill="0" autoPict="0" macro="[0]!tflip8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8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Button 10">
              <controlPr defaultSize="0" print="0" autoFill="0" autoPict="0" macro="[0]!tflip9">
                <anchor moveWithCells="1" sizeWithCells="1">
                  <from>
                    <xdr:col>8</xdr:col>
                    <xdr:colOff>9525</xdr:colOff>
                    <xdr:row>5</xdr:row>
                    <xdr:rowOff>9525</xdr:rowOff>
                  </from>
                  <to>
                    <xdr:col>9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Button 11">
              <controlPr defaultSize="0" print="0" autoFill="0" autoPict="0" macro="[0]!treset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12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Button 12">
              <controlPr defaultSize="0" print="0" autoFill="0" autoPict="0" macro="[0]!ttabl1">
                <anchor moveWithCells="1" sizeWithCells="1"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1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Button 13">
              <controlPr defaultSize="0" print="0" autoFill="0" autoPict="0" macro="[0]!ttabl2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2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Button 14">
              <controlPr defaultSize="0" print="0" autoFill="0" autoPict="0" macro="[0]!ttabl3">
                <anchor moveWithCells="1" siz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3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Button 15">
              <controlPr defaultSize="0" print="0" autoFill="0" autoPict="0" macro="[0]!ttabl4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4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Button 16">
              <controlPr defaultSize="0" print="0" autoFill="0" autoPict="0" macro="[0]!ttabl5">
                <anchor moveWithCells="1" sizeWithCells="1">
                  <from>
                    <xdr:col>4</xdr:col>
                    <xdr:colOff>9525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Button 17">
              <controlPr defaultSize="0" print="0" autoFill="0" autoPict="0" macro="[0]!ttabl6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Button 18">
              <controlPr defaultSize="0" print="0" autoFill="0" autoPict="0" macro="[0]!ttabl7">
                <anchor moveWithCells="1" sizeWithCells="1">
                  <from>
                    <xdr:col>6</xdr:col>
                    <xdr:colOff>9525</xdr:colOff>
                    <xdr:row>4</xdr:row>
                    <xdr:rowOff>9525</xdr:rowOff>
                  </from>
                  <to>
                    <xdr:col>7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Button 19">
              <controlPr defaultSize="0" print="0" autoFill="0" autoPict="0" macro="[0]!ttabl8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8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Button 20">
              <controlPr defaultSize="0" print="0" autoFill="0" autoPict="0" macro="[0]!ttabl9">
                <anchor moveWithCells="1" sizeWithCells="1">
                  <from>
                    <xdr:col>8</xdr:col>
                    <xdr:colOff>9525</xdr:colOff>
                    <xdr:row>4</xdr:row>
                    <xdr:rowOff>9525</xdr:rowOff>
                  </from>
                  <to>
                    <xdr:col>9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Button 21">
              <controlPr defaultSize="0" print="0" autoFill="0" autoPict="0" macro="[0]!tfoundation">
                <anchor moveWithCells="1" sizeWithCells="1">
                  <from>
                    <xdr:col>4</xdr:col>
                    <xdr:colOff>9525</xdr:colOff>
                    <xdr:row>1</xdr:row>
                    <xdr:rowOff>9525</xdr:rowOff>
                  </from>
                  <to>
                    <xdr:col>5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25" name="Button 24">
              <controlPr defaultSize="0" print="0" autoFill="0" autoPict="0" macro="[0]!goodbye">
                <anchor moveWithCells="1" sizeWithCells="1">
                  <from>
                    <xdr:col>11</xdr:col>
                    <xdr:colOff>9525</xdr:colOff>
                    <xdr:row>3</xdr:row>
                    <xdr:rowOff>9525</xdr:rowOff>
                  </from>
                  <to>
                    <xdr:col>11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D6" sqref="D6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Hello">
                <anchor moveWithCells="1" sizeWithCells="1">
                  <from>
                    <xdr:col>2</xdr:col>
                    <xdr:colOff>0</xdr:colOff>
                    <xdr:row>0</xdr:row>
                    <xdr:rowOff>19050</xdr:rowOff>
                  </from>
                  <to>
                    <xdr:col>3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BG</vt:lpstr>
      <vt:lpstr>TBG</vt:lpstr>
      <vt:lpstr>Draw 1</vt:lpstr>
      <vt:lpstr>Draw 3</vt:lpstr>
      <vt:lpstr>Tarot 1</vt:lpstr>
      <vt:lpstr>Tarot 3</vt:lpstr>
      <vt:lpstr>Frontsheet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Erin Crecelius</dc:creator>
  <cp:lastModifiedBy>Nick Fitch</cp:lastModifiedBy>
  <dcterms:created xsi:type="dcterms:W3CDTF">2017-06-12T18:16:56Z</dcterms:created>
  <dcterms:modified xsi:type="dcterms:W3CDTF">2018-07-09T19:06:29Z</dcterms:modified>
</cp:coreProperties>
</file>